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fea23b6e746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e8aaf0dfbc34d7f"/>
    <x:sheet xmlns:r="http://schemas.openxmlformats.org/officeDocument/2006/relationships" name="菜品目录" sheetId="2" r:id="R67de3a5122d441da"/>
    <x:sheet xmlns:r="http://schemas.openxmlformats.org/officeDocument/2006/relationships" name="加工节点" sheetId="3" r:id="Ra837c86f2f82435a"/>
    <x:sheet xmlns:r="http://schemas.openxmlformats.org/officeDocument/2006/relationships" name="半成品" sheetId="4" r:id="Rc145c937e5ee4ecc"/>
    <x:sheet xmlns:r="http://schemas.openxmlformats.org/officeDocument/2006/relationships" name="供应原料" sheetId="5" r:id="Rfec77a47e04e4a6c"/>
    <x:sheet xmlns:r="http://schemas.openxmlformats.org/officeDocument/2006/relationships" name="工位" sheetId="6" r:id="Ra749d1aabe1f41da"/>
    <x:sheet xmlns:r="http://schemas.openxmlformats.org/officeDocument/2006/relationships" name="参考来源" sheetId="7" r:id="R1ef412ab952249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03247"/>
      <x:name val="Noto Sans CJK SC"/>
    </x:font>
    <x:font>
      <x:b/>
      <x:sz val="17"/>
      <x:color rgb="FFFFFFFF"/>
      <x:name val="Noto Sans CJK SC"/>
    </x:font>
    <x:font>
      <x:b/>
      <x:sz val="10"/>
      <x:color rgb="FFFFFFFF"/>
      <x:name val="Noto Sans CJK SC"/>
    </x:font>
    <x:font>
      <x:b/>
      <x:sz val="18"/>
      <x:color rgb="FFFFFFFF"/>
      <x:name val="Noto Sans CJK SC"/>
    </x:font>
    <x:font>
      <x:b/>
      <x:sz val="18"/>
      <x:color rgb="FF087F8C"/>
      <x:name val="Noto Sans CJK SC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087F8C"/>
      </x:patternFill>
    </x:fill>
    <x:fill>
      <x:patternFill patternType="solid">
        <x:fgColor rgb="FFFFF4D6"/>
      </x:patternFill>
    </x:fill>
    <x:fill>
      <x:patternFill patternType="solid">
        <x:fgColor rgb="FFF3F7FA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69d7412c8341b4" /><Relationship Type="http://schemas.openxmlformats.org/officeDocument/2006/relationships/theme" Target="/xl/theme/theme1.xml" Id="Re987a25cb6564dc9" /><Relationship Type="http://schemas.openxmlformats.org/officeDocument/2006/relationships/sharedStrings" Target="/xl/sharedStrings.xml" Id="Rcf0e05d0112f46f4" /><Relationship Type="http://schemas.openxmlformats.org/officeDocument/2006/relationships/worksheet" Target="/xl/worksheets/sheet1.xml" Id="R1e8aaf0dfbc34d7f" /><Relationship Type="http://schemas.openxmlformats.org/officeDocument/2006/relationships/worksheet" Target="/xl/worksheets/sheet2.xml" Id="R67de3a5122d441da" /><Relationship Type="http://schemas.openxmlformats.org/officeDocument/2006/relationships/worksheet" Target="/xl/worksheets/sheet3.xml" Id="Ra837c86f2f82435a" /><Relationship Type="http://schemas.openxmlformats.org/officeDocument/2006/relationships/worksheet" Target="/xl/worksheets/sheet4.xml" Id="Rc145c937e5ee4ecc" /><Relationship Type="http://schemas.openxmlformats.org/officeDocument/2006/relationships/worksheet" Target="/xl/worksheets/sheet5.xml" Id="Rfec77a47e04e4a6c" /><Relationship Type="http://schemas.openxmlformats.org/officeDocument/2006/relationships/worksheet" Target="/xl/worksheets/sheet6.xml" Id="Ra749d1aabe1f41da" /><Relationship Type="http://schemas.openxmlformats.org/officeDocument/2006/relationships/worksheet" Target="/xl/worksheets/sheet7.xml" Id="R1ef412ab952249a5" /></Relationships>
</file>

<file path=xl/tables/table1.xml><?xml version="1.0" encoding="utf-8"?>
<x:table xmlns:x="http://schemas.openxmlformats.org/spreadsheetml/2006/main" id="1" name="MenuCatalog" displayName="MenuCatalog" ref="A4:M91" headerRowCount="1" totalsRowCount="0" totalsRowShown="0">
  <x:tableColumns count="13">
    <x:tableColumn id="1" name="编号"/>
    <x:tableColumn id="2" name="大类"/>
    <x:tableColumn id="3" name="品系"/>
    <x:tableColumn id="4" name="菜品"/>
    <x:tableColumn id="5" name="直接投料"/>
    <x:tableColumn id="6" name="成品阶段流程"/>
    <x:tableColumn id="7" name="完整工位依赖"/>
    <x:tableColumn id="8" name="完成形态"/>
    <x:tableColumn id="9" name="出餐容器"/>
    <x:tableColumn id="10" name="协作交接"/>
    <x:tableColumn id="11" name="供应原料总依赖（去重）"/>
    <x:tableColumn id="12" name="品类参考链接（非原配方）"/>
    <x:tableColumn id="13" name="审阅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cessNodes" displayName="ProcessNodes" ref="A4:J371" headerRowCount="1" totalsRowCount="0" totalsRowShown="0">
  <x:tableColumns count="10">
    <x:tableColumn id="1" name="菜品编号"/>
    <x:tableColumn id="2" name="菜品"/>
    <x:tableColumn id="3" name="节点"/>
    <x:tableColumn id="4" name="类型"/>
    <x:tableColumn id="5" name="产出/目标"/>
    <x:tableColumn id="6" name="本步投入"/>
    <x:tableColumn id="7" name="操作"/>
    <x:tableColumn id="8" name="本步工位"/>
    <x:tableColumn id="9" name="承载形式"/>
    <x:tableColumn id="10" name="上游依赖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eparations" displayName="Preparations" ref="A4:H64" headerRowCount="1" totalsRowCount="0" totalsRowShown="0">
  <x:tableColumns count="8">
    <x:tableColumn id="1" name="编号"/>
    <x:tableColumn id="2" name="半成品"/>
    <x:tableColumn id="3" name="直接投入"/>
    <x:tableColumn id="4" name="加工过程"/>
    <x:tableColumn id="5" name="本步工位"/>
    <x:tableColumn id="6" name="承载形式"/>
    <x:tableColumn id="7" name="批量/保留边界"/>
    <x:tableColumn id="8" name="供应原料依赖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lies" displayName="Supplies" ref="A4:E76" headerRowCount="1" totalsRowCount="0" totalsRowShown="0">
  <x:tableColumns count="5">
    <x:tableColumn id="1" name="编号"/>
    <x:tableColumn id="2" name="分类"/>
    <x:tableColumn id="3" name="原料"/>
    <x:tableColumn id="4" name="来源"/>
    <x:tableColumn id="5" name="供应形态与抽象边界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ations" displayName="Stations" ref="A4:D23" headerRowCount="1" totalsRowCount="0" totalsRowShown="0">
  <x:tableColumns count="4">
    <x:tableColumn id="1" name="编号"/>
    <x:tableColumn id="2" name="工位"/>
    <x:tableColumn id="3" name="加工能力"/>
    <x:tableColumn id="4" name="操作边界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" displayName="Sources" ref="A4:E11" headerRowCount="1" totalsRowCount="0" totalsRowShown="0">
  <x:tableColumns count="5">
    <x:tableColumn id="1" name="标识"/>
    <x:tableColumn id="2" name="标题"/>
    <x:tableColumn id="3" name="来源性质"/>
    <x:tableColumn id="4" name="本稿采用范围"/>
    <x:tableColumn id="5" name="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5e915e12d647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f86586c5cc46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c6d16dcfb549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223776405e4b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9232a4f38b4f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4cdf3a915e4224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42" customHeight="1">
      <x:c r="A1" s="32" t="str">
        <x:v>COOKING  /  正式菜品与加工链 v0.1</x:v>
      </x:c>
      <x:c r="B1" s="32"/>
      <x:c r="C1" s="32"/>
      <x:c r="D1" s="32"/>
      <x:c r="E1" s="32"/>
      <x:c r="F1" s="32"/>
      <x:c r="G1" s="32"/>
      <x:c r="H1" s="32"/>
    </x:row>
    <x:row r="2" ht="32" customHeight="1">
      <x:c r="A2" s="14" t="str">
        <x:v>2026-10-02 · 完整候选目录 · Planning / 未逐项批准 · 不含生产代码或关卡分配</x:v>
      </x:c>
      <x:c r="B2" s="14"/>
      <x:c r="C2" s="14"/>
      <x:c r="D2" s="14"/>
      <x:c r="E2" s="14"/>
      <x:c r="F2" s="14"/>
      <x:c r="G2" s="14"/>
      <x:c r="H2" s="14"/>
    </x:row>
    <x:row r="3">
      <x:c r="A3" s="2"/>
      <x:c r="B3" s="2"/>
      <x:c r="C3" s="2"/>
      <x:c r="D3" s="2"/>
      <x:c r="E3" s="2"/>
      <x:c r="F3" s="2"/>
      <x:c r="G3" s="2"/>
      <x:c r="H3" s="2"/>
    </x:row>
    <x:row r="4" ht="32" customHeight="1">
      <x:c r="A4" s="2" t="str">
        <x:v>菜品总数</x:v>
      </x:c>
      <x:c r="B4" s="42" t="n">
        <x:f>COUNTA('菜品目录'!A5:A91)</x:f>
        <x:v>87</x:v>
      </x:c>
      <x:c r="C4" s="2"/>
      <x:c r="D4" s="2" t="str">
        <x:v>正餐</x:v>
      </x:c>
      <x:c r="E4" s="42" t="n">
        <x:f>COUNTIF('菜品目录'!B5:B91,"正餐")</x:f>
        <x:v>44</x:v>
      </x:c>
      <x:c r="F4" s="2"/>
      <x:c r="G4" s="2" t="str">
        <x:v>甜品</x:v>
      </x:c>
      <x:c r="H4" s="42" t="n">
        <x:f>COUNTIF('菜品目录'!B5:B91,"甜品")</x:f>
        <x:v>12</x:v>
      </x:c>
    </x:row>
    <x:row r="5" ht="32" customHeight="1">
      <x:c r="A5" s="2" t="str">
        <x:v>饮品</x:v>
      </x:c>
      <x:c r="B5" s="42" t="n">
        <x:f>COUNTIF('菜品目录'!B5:B91,"饮品")</x:f>
        <x:v>31</x:v>
      </x:c>
      <x:c r="C5" s="2"/>
      <x:c r="D5" s="2" t="str">
        <x:v>供应原料</x:v>
      </x:c>
      <x:c r="E5" s="42" t="n">
        <x:f>COUNTA('供应原料'!A5:A76)</x:f>
        <x:v>72</x:v>
      </x:c>
      <x:c r="F5" s="2"/>
      <x:c r="G5" s="2" t="str">
        <x:v>准备状态</x:v>
      </x:c>
      <x:c r="H5" s="42" t="n">
        <x:f>COUNTA('半成品'!A5:A64)</x:f>
        <x:v>60</x:v>
      </x:c>
    </x:row>
    <x:row r="6" ht="32" customHeight="1">
      <x:c r="A6" s="2" t="str">
        <x:v>功能工位</x:v>
      </x:c>
      <x:c r="B6" s="42" t="n">
        <x:f>COUNTA('工位'!A5:A23)</x:f>
        <x:v>19</x:v>
      </x:c>
      <x:c r="C6" s="2"/>
      <x:c r="D6" s="2"/>
      <x:c r="E6" s="2"/>
      <x:c r="F6" s="2"/>
      <x:c r="G6" s="2"/>
      <x:c r="H6" s="2"/>
    </x:row>
    <x:row r="7">
      <x:c r="A7" s="2"/>
      <x:c r="B7" s="2"/>
      <x:c r="C7" s="2"/>
      <x:c r="D7" s="2"/>
      <x:c r="E7" s="2"/>
      <x:c r="F7" s="2"/>
      <x:c r="G7" s="2"/>
      <x:c r="H7" s="2"/>
    </x:row>
    <x:row r="8" ht="26" customHeight="1">
      <x:c r="A8" s="47" t="str">
        <x:v>阅读入口</x:v>
      </x:c>
      <x:c r="B8" s="47"/>
      <x:c r="C8" s="47"/>
      <x:c r="D8" s="47"/>
      <x:c r="E8" s="47"/>
      <x:c r="F8" s="47"/>
      <x:c r="G8" s="47"/>
      <x:c r="H8" s="47"/>
    </x:row>
    <x:row r="9" ht="34" customHeight="1">
      <x:c r="A9" s="52" t="str">
        <x:v>菜品目录</x:v>
      </x:c>
      <x:c r="B9" s="52"/>
      <x:c r="C9" s="50" t="str">
        <x:v>87款的投料、成品工序、全工位依赖、出餐形态与协作交接。</x:v>
      </x:c>
      <x:c r="D9" s="50"/>
      <x:c r="E9" s="50"/>
      <x:c r="F9" s="50"/>
      <x:c r="G9" s="50"/>
      <x:c r="H9" s="50"/>
    </x:row>
    <x:row r="10" ht="34" customHeight="1">
      <x:c r="A10" s="52" t="str">
        <x:v>加工节点</x:v>
      </x:c>
      <x:c r="B10" s="52"/>
      <x:c r="C10" s="50" t="str">
        <x:v>按菜品编号筛选，得到从供应原料开始的完整依赖链。</x:v>
      </x:c>
      <x:c r="D10" s="50"/>
      <x:c r="E10" s="50"/>
      <x:c r="F10" s="50"/>
      <x:c r="G10" s="50"/>
      <x:c r="H10" s="50"/>
    </x:row>
    <x:row r="11" ht="34" customHeight="1">
      <x:c r="A11" s="52" t="str">
        <x:v>半成品</x:v>
      </x:c>
      <x:c r="B11" s="52"/>
      <x:c r="C11" s="50" t="str">
        <x:v>60项切配、熟料、茶底、酱料和奶盖的来源与操作。</x:v>
      </x:c>
      <x:c r="D11" s="50"/>
      <x:c r="E11" s="50"/>
      <x:c r="F11" s="50"/>
      <x:c r="G11" s="50"/>
      <x:c r="H11" s="50"/>
    </x:row>
    <x:row r="12" ht="34" customHeight="1">
      <x:c r="A12" s="52" t="str">
        <x:v>供应原料 / 工位</x:v>
      </x:c>
      <x:c r="B12" s="52"/>
      <x:c r="C12" s="50" t="str">
        <x:v>核对本关是否提供配方全部依赖；不等于每关都全部开放。</x:v>
      </x:c>
      <x:c r="D12" s="50"/>
      <x:c r="E12" s="50"/>
      <x:c r="F12" s="50"/>
      <x:c r="G12" s="50"/>
      <x:c r="H12" s="50"/>
    </x:row>
    <x:row r="13" ht="34" customHeight="1">
      <x:c r="A13" s="52" t="str">
        <x:v>参考来源</x:v>
      </x:c>
      <x:c r="B13" s="52"/>
      <x:c r="C13" s="50" t="str">
        <x:v>官方与玩家整理分开标识；不把本方案配方误记为原作规则。</x:v>
      </x:c>
      <x:c r="D13" s="50"/>
      <x:c r="E13" s="50"/>
      <x:c r="F13" s="50"/>
      <x:c r="G13" s="50"/>
      <x:c r="H13" s="50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 ht="26" customHeight="1">
      <x:c r="A15" s="47" t="str">
        <x:v>统一设计边界</x:v>
      </x:c>
      <x:c r="B15" s="47"/>
      <x:c r="C15" s="47"/>
      <x:c r="D15" s="47"/>
      <x:c r="E15" s="47"/>
      <x:c r="F15" s="47"/>
      <x:c r="G15" s="47"/>
      <x:c r="H15" s="47"/>
    </x:row>
    <x:row r="16" ht="44" customHeight="1">
      <x:c r="A16" s="56" t="str">
        <x:v>状态</x:v>
      </x:c>
      <x:c r="B16" s="56"/>
      <x:c r="C16" s="56" t="str">
        <x:v>整套内容为完整候选菜单 v0.1；用户请求设计，不等于逐菜批准或授权生产实现。</x:v>
      </x:c>
      <x:c r="D16" s="56"/>
      <x:c r="E16" s="56"/>
      <x:c r="F16" s="56"/>
      <x:c r="G16" s="56"/>
      <x:c r="H16" s="56"/>
    </x:row>
    <x:row r="17" ht="44" customHeight="1">
      <x:c r="A17" s="54" t="str">
        <x:v>范围</x:v>
      </x:c>
      <x:c r="B17" s="54"/>
      <x:c r="C17" s="54" t="str">
        <x:v>87 款=44 正餐+12 甜品+31 饮品；26 个品系。不是两款原作的全配方复刻。</x:v>
      </x:c>
      <x:c r="D17" s="54"/>
      <x:c r="E17" s="54"/>
      <x:c r="F17" s="54"/>
      <x:c r="G17" s="54"/>
      <x:c r="H17" s="54"/>
    </x:row>
    <x:row r="18" ht="44" customHeight="1">
      <x:c r="A18" s="56" t="str">
        <x:v>来源</x:v>
      </x:c>
      <x:c r="B18" s="56"/>
      <x:c r="C18" s="56" t="str">
        <x:v>胡闹厨房 2 本体与 DLC 提供主流加工品类；杯杯倒满提供饮品制作结构。所有实际配料组合与步骤均为本方案重新设计。</x:v>
      </x:c>
      <x:c r="D18" s="56"/>
      <x:c r="E18" s="56"/>
      <x:c r="F18" s="56"/>
      <x:c r="G18" s="56"/>
      <x:c r="H18" s="56"/>
    </x:row>
    <x:row r="19" ht="44" customHeight="1">
      <x:c r="A19" s="54" t="str">
        <x:v>内容规模</x:v>
      </x:c>
      <x:c r="B19" s="54"/>
      <x:c r="C19" s="54" t="str">
        <x:v>这是正式内容总目录候选，不是首关菜单、不是 MVP；各关分配另议。</x:v>
      </x:c>
      <x:c r="D19" s="54"/>
      <x:c r="E19" s="54"/>
      <x:c r="F19" s="54"/>
      <x:c r="G19" s="54"/>
      <x:c r="H19" s="54"/>
    </x:row>
    <x:row r="20" ht="44" customHeight="1">
      <x:c r="A20" s="56" t="str">
        <x:v>原料身份</x:v>
      </x:c>
      <x:c r="B20" s="56"/>
      <x:c r="C20" s="56" t="str">
        <x:v>顾客作为食材、食物改变建筑等创新不进入本版。</x:v>
      </x:c>
      <x:c r="D20" s="56"/>
      <x:c r="E20" s="56"/>
      <x:c r="F20" s="56"/>
      <x:c r="G20" s="56"/>
      <x:c r="H20" s="56"/>
    </x:row>
    <x:row r="21" ht="44" customHeight="1">
      <x:c r="A21" s="54" t="str">
        <x:v>供应边界</x:v>
      </x:c>
      <x:c r="B21" s="54"/>
      <x:c r="C21" s="54" t="str">
        <x:v>面包、皮、披萨面团、生圈坯、酱料、汤底、冰淇淋由供货端提供；茶底、咖啡、珍珠、面糊及热加工由玩家完成。</x:v>
      </x:c>
      <x:c r="D21" s="54"/>
      <x:c r="E21" s="54"/>
      <x:c r="F21" s="54"/>
      <x:c r="G21" s="54"/>
      <x:c r="H21" s="54"/>
    </x:row>
    <x:row r="22" ht="44" customHeight="1">
      <x:c r="A22" s="56" t="str">
        <x:v>操作颗粒度</x:v>
      </x:c>
      <x:c r="B22" s="56"/>
      <x:c r="C22" s="56" t="str">
        <x:v>切配、混合、包卷、裹粉采用统一简单操作；不做精准切割、拉花、轨迹描绘、逐个捏褶或火候节奏小游戏。</x:v>
      </x:c>
      <x:c r="D22" s="56"/>
      <x:c r="E22" s="56"/>
      <x:c r="F22" s="56"/>
      <x:c r="G22" s="56"/>
      <x:c r="H22" s="56"/>
    </x:row>
    <x:row r="23" ht="44" customHeight="1">
      <x:c r="A23" s="54" t="str">
        <x:v>背景步骤</x:v>
      </x:c>
      <x:c r="B23" s="54"/>
      <x:c r="C23" s="54" t="str">
        <x:v>洗菜、削皮、去核、去骨、通用盐油和烹饪设备用水不独立操作；名字明确的酱、小料、饮品用水仍列为投入。</x:v>
      </x:c>
      <x:c r="D23" s="54"/>
      <x:c r="E23" s="54"/>
      <x:c r="F23" s="54"/>
      <x:c r="G23" s="54"/>
      <x:c r="H23" s="54"/>
    </x:row>
    <x:row r="24" ht="44" customHeight="1">
      <x:c r="A24" s="56" t="str">
        <x:v>投料单位</x:v>
      </x:c>
      <x:c r="B24" s="56"/>
      <x:c r="C24" s="56" t="str">
        <x:v>×1 是一份游戏投料，不是现实克数或毫升。数字用于区分同一配方中的份数，不规定采购包装量。</x:v>
      </x:c>
      <x:c r="D24" s="56"/>
      <x:c r="E24" s="56"/>
      <x:c r="F24" s="56"/>
      <x:c r="G24" s="56"/>
      <x:c r="H24" s="56"/>
    </x:row>
    <x:row r="25" ht="44" customHeight="1">
      <x:c r="A25" s="54" t="str">
        <x:v>批量产出</x:v>
      </x:c>
      <x:c r="B25" s="54"/>
      <x:c r="C25" s="54" t="str">
        <x:v>茶、饭、酱、面糊、珍珠可共享准备；每批产出份数、保留时长、库存容量后续单独平衡。禁止用此表直接推算采购数量。</x:v>
      </x:c>
      <x:c r="D25" s="54"/>
      <x:c r="E25" s="54"/>
      <x:c r="F25" s="54"/>
      <x:c r="G25" s="54"/>
      <x:c r="H25" s="54"/>
    </x:row>
    <x:row r="26" ht="44" customHeight="1">
      <x:c r="A26" s="56" t="str">
        <x:v>前后关系</x:v>
      </x:c>
      <x:c r="B26" s="56"/>
      <x:c r="C26" s="56" t="str">
        <x:v>完整加工链按依赖拓扑列示，不强制独立分支的先后；煮面/熬酱、煎肉/切菜等可并行。</x:v>
      </x:c>
      <x:c r="D26" s="56"/>
      <x:c r="E26" s="56"/>
      <x:c r="F26" s="56"/>
      <x:c r="G26" s="56"/>
      <x:c r="H26" s="56"/>
    </x:row>
    <x:row r="27" ht="44" customHeight="1">
      <x:c r="A27" s="54" t="str">
        <x:v>半成品交接</x:v>
      </x:c>
      <x:c r="B27" s="54"/>
      <x:c r="C27" s="54" t="str">
        <x:v>每个明确中间成果保留状态，换人接手不重做；未烤披萨、未蒸饺子等可在热加工前交接。</x:v>
      </x:c>
      <x:c r="D27" s="54"/>
      <x:c r="E27" s="54"/>
      <x:c r="F27" s="54"/>
      <x:c r="G27" s="54"/>
      <x:c r="H27" s="54"/>
    </x:row>
    <x:row r="28" ht="44" customHeight="1">
      <x:c r="A28" s="56" t="str">
        <x:v>设备加工</x:v>
      </x:c>
      <x:c r="B28" s="56"/>
      <x:c r="C28" s="56" t="str">
        <x:v>设备可以在玩家离开后继续完成一次加工；不引入自动投料、自动运输或自动出餐。</x:v>
      </x:c>
      <x:c r="D28" s="56"/>
      <x:c r="E28" s="56"/>
      <x:c r="F28" s="56"/>
      <x:c r="G28" s="56"/>
      <x:c r="H28" s="56"/>
    </x:row>
    <x:row r="29" ht="44" customHeight="1">
      <x:c r="A29" s="54" t="str">
        <x:v>冷热</x:v>
      </x:c>
      <x:c r="B29" s="54"/>
      <x:c r="C29" s="54" t="str">
        <x:v>本目录每款饮品固定默认状态；没有冷却/融化计时，没有自动生成的冰热糖度杯型排列组合。</x:v>
      </x:c>
      <x:c r="D29" s="54"/>
      <x:c r="E29" s="54"/>
      <x:c r="F29" s="54"/>
      <x:c r="G29" s="54"/>
      <x:c r="H29" s="54"/>
    </x:row>
    <x:row r="30" ht="44" customHeight="1">
      <x:c r="A30" s="56" t="str">
        <x:v>饮品订单</x:v>
      </x:c>
      <x:c r="B30" s="56"/>
      <x:c r="C30" s="56" t="str">
        <x:v>所有饮品配方完成后独立贴单交付；封口盖子并入交付表现，不添加每杯单独封盖工序。</x:v>
      </x:c>
      <x:c r="D30" s="56"/>
      <x:c r="E30" s="56"/>
      <x:c r="F30" s="56"/>
      <x:c r="G30" s="56"/>
      <x:c r="H30" s="56"/>
    </x:row>
    <x:row r="31" ht="44" customHeight="1">
      <x:c r="A31" s="54" t="str">
        <x:v>餐食订单</x:v>
      </x:c>
      <x:c r="B31" s="54"/>
      <x:c r="C31" s="54" t="str">
        <x:v>餐食完成装盘即可进入核单交付，不要求所有盘子额外贴标签。</x:v>
      </x:c>
      <x:c r="D31" s="54"/>
      <x:c r="E31" s="54"/>
      <x:c r="F31" s="54"/>
      <x:c r="G31" s="54"/>
      <x:c r="H31" s="54"/>
    </x:row>
    <x:row r="32" ht="44" customHeight="1">
      <x:c r="A32" s="56" t="str">
        <x:v>容器</x:v>
      </x:c>
      <x:c r="B32" s="56"/>
      <x:c r="C32" s="56" t="str">
        <x:v>加工容器与出餐容器分开；端走一碗汤不把后厨煮锅交给顾客。</x:v>
      </x:c>
      <x:c r="D32" s="56"/>
      <x:c r="E32" s="56"/>
      <x:c r="F32" s="56"/>
      <x:c r="G32" s="56"/>
      <x:c r="H32" s="56"/>
    </x:row>
    <x:row r="33" ht="44" customHeight="1">
      <x:c r="A33" s="54" t="str">
        <x:v>同名状态</x:v>
      </x:c>
      <x:c r="B33" s="54"/>
      <x:c r="C33" s="54" t="str">
        <x:v>例如“炸鸡块”半成品与“炸鸡块”成品菜，分别由物料 ID 与菜品 ID 区分；熟炸物装盘才是出餐状态。</x:v>
      </x:c>
      <x:c r="D33" s="54"/>
      <x:c r="E33" s="54"/>
      <x:c r="F33" s="54"/>
      <x:c r="G33" s="54"/>
      <x:c r="H33" s="54"/>
    </x:row>
    <x:row r="34" ht="44" customHeight="1">
      <x:c r="A34" s="56" t="str">
        <x:v>调味边界</x:v>
      </x:c>
      <x:c r="B34" s="56"/>
      <x:c r="C34" s="56" t="str">
        <x:v>通用调味抽象；番茄酱、芥末、奶盖等有可见配方身份的部分保留定份添加，不模拟味觉数值。</x:v>
      </x:c>
      <x:c r="D34" s="56"/>
      <x:c r="E34" s="56"/>
      <x:c r="F34" s="56"/>
      <x:c r="G34" s="56"/>
      <x:c r="H34" s="56"/>
    </x:row>
    <x:row r="35" ht="44" customHeight="1">
      <x:c r="A35" s="54" t="str">
        <x:v>范围校验</x:v>
      </x:c>
      <x:c r="B35" s="54"/>
      <x:c r="C35" s="54" t="str">
        <x:v>本关实际菜单需要具备全部供应原料、半成品路线、工位和容器。曾解锁不代表每关允许使用。</x:v>
      </x:c>
      <x:c r="D35" s="54"/>
      <x:c r="E35" s="54"/>
      <x:c r="F35" s="54"/>
      <x:c r="G35" s="54"/>
      <x:c r="H35" s="54"/>
    </x:row>
    <x:row r="36" ht="44" customHeight="1">
      <x:c r="A36" s="56" t="str">
        <x:v>延后</x:v>
      </x:c>
      <x:c r="B36" s="56"/>
      <x:c r="C36" s="56" t="str">
        <x:v>各关菜单、容量、价格、耗时、批量产出、保质/烧焦/失败规则、采购经济与升级均未由本稿决定。</x:v>
      </x:c>
      <x:c r="D36" s="56"/>
      <x:c r="E36" s="56"/>
      <x:c r="F36" s="56"/>
      <x:c r="G36" s="56"/>
      <x:c r="H36" s="56"/>
    </x:row>
    <x:row r="37" ht="44" customHeight="1">
      <x:c r="A37" s="54" t="str">
        <x:v>现实边界</x:v>
      </x:c>
      <x:c r="B37" s="54"/>
      <x:c r="C37" s="54" t="str">
        <x:v>本文件为游戏制作链，不是现实食品制作或食品安全指南。</x:v>
      </x:c>
      <x:c r="D37" s="54"/>
      <x:c r="E37" s="54"/>
      <x:c r="F37" s="54"/>
      <x:c r="G37" s="54"/>
      <x:c r="H37" s="54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</x:sheetData>
  <x:mergeCells>
    <x:mergeCell ref="A1:H1"/>
    <x:mergeCell ref="A2:H2"/>
    <x:mergeCell ref="A8:H8"/>
    <x:mergeCell ref="A9:B9"/>
    <x:mergeCell ref="C9:H9"/>
    <x:mergeCell ref="A10:B10"/>
    <x:mergeCell ref="C10:H10"/>
    <x:mergeCell ref="A11:B11"/>
    <x:mergeCell ref="C11:H11"/>
    <x:mergeCell ref="A12:B12"/>
    <x:mergeCell ref="C12:H12"/>
    <x:mergeCell ref="A13:B13"/>
    <x:mergeCell ref="C13:H13"/>
    <x:mergeCell ref="A15:H15"/>
    <x:mergeCell ref="A16:B16"/>
    <x:mergeCell ref="C16:H16"/>
    <x:mergeCell ref="A17:B17"/>
    <x:mergeCell ref="C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3:B23"/>
    <x:mergeCell ref="C23:H23"/>
    <x:mergeCell ref="A24:B24"/>
    <x:mergeCell ref="C24:H24"/>
    <x:mergeCell ref="A25:B25"/>
    <x:mergeCell ref="C25:H25"/>
    <x:mergeCell ref="A26:B26"/>
    <x:mergeCell ref="C26:H26"/>
    <x:mergeCell ref="A27:B27"/>
    <x:mergeCell ref="C27:H27"/>
    <x:mergeCell ref="A28:B28"/>
    <x:mergeCell ref="C28:H28"/>
    <x:mergeCell ref="A29:B29"/>
    <x:mergeCell ref="C29:H29"/>
    <x:mergeCell ref="A30:B30"/>
    <x:mergeCell ref="C30:H30"/>
    <x:mergeCell ref="A31:B31"/>
    <x:mergeCell ref="C31:H31"/>
    <x:mergeCell ref="A32:B32"/>
    <x:mergeCell ref="C32:H32"/>
    <x:mergeCell ref="A33:B33"/>
    <x:mergeCell ref="C33:H33"/>
    <x:mergeCell ref="A34:B34"/>
    <x:mergeCell ref="C34:H34"/>
    <x:mergeCell ref="A35:B35"/>
    <x:mergeCell ref="C35:H35"/>
    <x:mergeCell ref="A36:B36"/>
    <x:mergeCell ref="C36:H36"/>
    <x:mergeCell ref="A37:B37"/>
    <x:mergeCell ref="C37:H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16" hidden="0" customWidth="1"/>
    <x:col min="4" max="4" width="23" hidden="0" customWidth="1"/>
    <x:col min="5" max="5" width="36" hidden="0" customWidth="1"/>
    <x:col min="6" max="6" width="40" hidden="0" customWidth="1"/>
    <x:col min="7" max="7" width="32" hidden="0" customWidth="1"/>
    <x:col min="8" max="8" width="24" hidden="0" customWidth="1"/>
    <x:col min="9" max="9" width="16" hidden="0" customWidth="1"/>
    <x:col min="10" max="10" width="30" hidden="0" customWidth="1"/>
    <x:col min="11" max="11" width="40" hidden="0" customWidth="1"/>
    <x:col min="12" max="12" width="40" hidden="0" customWidth="1"/>
    <x:col min="13" max="13" width="20" hidden="0" customWidth="1"/>
  </x:cols>
  <x:sheetData>
    <x:row r="1" ht="34" customHeight="1">
      <x:c r="A1" s="8" t="str">
        <x:v>完整候选菜品目录 · 87款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4" customHeight="1">
      <x:c r="A2" s="14" t="str">
        <x:v>全表为本项目配方设计，不是原作逐条复刻。×1为游戏投料份；熟饭、茶底等来源见半成品页。未逐项批准。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30" customHeight="1">
      <x:c r="A4" s="23" t="str">
        <x:v>编号</x:v>
      </x:c>
      <x:c r="B4" s="23" t="str">
        <x:v>大类</x:v>
      </x:c>
      <x:c r="C4" s="23" t="str">
        <x:v>品系</x:v>
      </x:c>
      <x:c r="D4" s="23" t="str">
        <x:v>菜品</x:v>
      </x:c>
      <x:c r="E4" s="23" t="str">
        <x:v>直接投料</x:v>
      </x:c>
      <x:c r="F4" s="23" t="str">
        <x:v>成品阶段流程</x:v>
      </x:c>
      <x:c r="G4" s="23" t="str">
        <x:v>完整工位依赖</x:v>
      </x:c>
      <x:c r="H4" s="23" t="str">
        <x:v>完成形态</x:v>
      </x:c>
      <x:c r="I4" s="23" t="str">
        <x:v>出餐容器</x:v>
      </x:c>
      <x:c r="J4" s="23" t="str">
        <x:v>协作交接</x:v>
      </x:c>
      <x:c r="K4" s="23" t="str">
        <x:v>供应原料总依赖（去重）</x:v>
      </x:c>
      <x:c r="L4" s="23" t="str">
        <x:v>品类参考链接（非原配方）</x:v>
      </x:c>
      <x:c r="M4" s="23" t="str">
        <x:v>审阅状态</x:v>
      </x:c>
    </x:row>
    <x:row r="5" ht="100" customHeight="1">
      <x:c r="A5" s="18" t="str">
        <x:v>F01</x:v>
      </x:c>
      <x:c r="B5" s="18" t="str">
        <x:v>正餐</x:v>
      </x:c>
      <x:c r="C5" s="18" t="str">
        <x:v>沙拉</x:v>
      </x:c>
      <x:c r="D5" s="18" t="str">
        <x:v>田园沙拉</x:v>
      </x:c>
      <x:c r="E5" s="18" t="str">
        <x:v>生菜片×1 + 番茄块×1 + 黄瓜片×1</x:v>
      </x:c>
      <x:c r="F5" s="18" t="str">
        <x:v>三种切配蔬菜→装盘</x:v>
      </x:c>
      <x:c r="G5" s="18" t="str">
        <x:v>切配台、组装台</x:v>
      </x:c>
      <x:c r="H5" s="18" t="str">
        <x:v>三色蔬菜拼配</x:v>
      </x:c>
      <x:c r="I5" s="18" t="str">
        <x:v>餐盘</x:v>
      </x:c>
      <x:c r="J5" s="18" t="str">
        <x:v>切配→装盘</x:v>
      </x:c>
      <x:c r="K5" s="18" t="str">
        <x:v>生菜、番茄、黄瓜</x:v>
      </x:c>
      <x:c r="L5" s="18" t="str">
        <x:v>https://www.team17.com/news/the-a-z-of-overcooked-2</x:v>
      </x:c>
      <x:c r="M5" s="28" t="str">
        <x:v>建议稿｜未逐项批准</x:v>
      </x:c>
    </x:row>
    <x:row r="6" ht="100" customHeight="1">
      <x:c r="A6" s="18" t="str">
        <x:v>F02</x:v>
      </x:c>
      <x:c r="B6" s="18" t="str">
        <x:v>正餐</x:v>
      </x:c>
      <x:c r="C6" s="18" t="str">
        <x:v>沙拉</x:v>
      </x:c>
      <x:c r="D6" s="18" t="str">
        <x:v>芝士蔬菜沙拉</x:v>
      </x:c>
      <x:c r="E6" s="18" t="str">
        <x:v>生菜片×1 + 番茄块×1 + 黄瓜片×1 + 芝士片×1</x:v>
      </x:c>
      <x:c r="F6" s="18" t="str">
        <x:v>切配蔬菜入盘→添加芝士</x:v>
      </x:c>
      <x:c r="G6" s="18" t="str">
        <x:v>切配台、组装台</x:v>
      </x:c>
      <x:c r="H6" s="18" t="str">
        <x:v>有芝士的蔬菜沙拉</x:v>
      </x:c>
      <x:c r="I6" s="18" t="str">
        <x:v>餐盘</x:v>
      </x:c>
      <x:c r="J6" s="18" t="str">
        <x:v>共享蔬菜备料→补芝士</x:v>
      </x:c>
      <x:c r="K6" s="18" t="str">
        <x:v>生菜、番茄、黄瓜、芝士片</x:v>
      </x:c>
      <x:c r="L6" s="18" t="str">
        <x:v>https://www.team17.com/news/the-a-z-of-overcooked-2</x:v>
      </x:c>
      <x:c r="M6" s="28" t="str">
        <x:v>建议稿｜未逐项批准</x:v>
      </x:c>
    </x:row>
    <x:row r="7" ht="100" customHeight="1">
      <x:c r="A7" s="18" t="str">
        <x:v>F03</x:v>
      </x:c>
      <x:c r="B7" s="18" t="str">
        <x:v>正餐</x:v>
      </x:c>
      <x:c r="C7" s="18" t="str">
        <x:v>沙拉</x:v>
      </x:c>
      <x:c r="D7" s="18" t="str">
        <x:v>煎鸡肉沙拉</x:v>
      </x:c>
      <x:c r="E7" s="18" t="str">
        <x:v>生菜片×1 + 番茄块×1 + 熟鸡肉×1</x:v>
      </x:c>
      <x:c r="F7" s="18" t="str">
        <x:v>蔬菜入盘→加入煎熟鸡肉</x:v>
      </x:c>
      <x:c r="G7" s="18" t="str">
        <x:v>切配台、组装台、煎台</x:v>
      </x:c>
      <x:c r="H7" s="18" t="str">
        <x:v>蔬菜上有可见鸡肉</x:v>
      </x:c>
      <x:c r="I7" s="18" t="str">
        <x:v>餐盘</x:v>
      </x:c>
      <x:c r="J7" s="18" t="str">
        <x:v>蔬菜与煎肉并行→装盘</x:v>
      </x:c>
      <x:c r="K7" s="18" t="str">
        <x:v>生菜、番茄、鸡肉块</x:v>
      </x:c>
      <x:c r="L7" s="18" t="str">
        <x:v>https://www.team17.com/news/the-a-z-of-overcooked-2</x:v>
      </x:c>
      <x:c r="M7" s="28" t="str">
        <x:v>建议稿｜未逐项批准</x:v>
      </x:c>
    </x:row>
    <x:row r="8" ht="100" customHeight="1">
      <x:c r="A8" s="18" t="str">
        <x:v>F04</x:v>
      </x:c>
      <x:c r="B8" s="18" t="str">
        <x:v>正餐</x:v>
      </x:c>
      <x:c r="C8" s="18" t="str">
        <x:v>汤</x:v>
      </x:c>
      <x:c r="D8" s="18" t="str">
        <x:v>番茄汤</x:v>
      </x:c>
      <x:c r="E8" s="18" t="str">
        <x:v>番茄块×1 + 洋葱块×1 + 清汤底×1</x:v>
      </x:c>
      <x:c r="F8" s="18" t="str">
        <x:v>番茄、洋葱和汤底入锅→煮成汤→盛碗</x:v>
      </x:c>
      <x:c r="G8" s="18" t="str">
        <x:v>切配台、煮锅</x:v>
      </x:c>
      <x:c r="H8" s="18" t="str">
        <x:v>红色汤体</x:v>
      </x:c>
      <x:c r="I8" s="18" t="str">
        <x:v>汤碗</x:v>
      </x:c>
      <x:c r="J8" s="18" t="str">
        <x:v>切配→煮汤→分装</x:v>
      </x:c>
      <x:c r="K8" s="18" t="str">
        <x:v>番茄、洋葱、清汤底</x:v>
      </x:c>
      <x:c r="L8" s="18" t="str">
        <x:v>https://www.team17.com/news/overcooked-2-introducing-night-of-the-hangry-horde</x:v>
      </x:c>
      <x:c r="M8" s="28" t="str">
        <x:v>建议稿｜未逐项批准</x:v>
      </x:c>
    </x:row>
    <x:row r="9" ht="100" customHeight="1">
      <x:c r="A9" s="18" t="str">
        <x:v>F05</x:v>
      </x:c>
      <x:c r="B9" s="18" t="str">
        <x:v>正餐</x:v>
      </x:c>
      <x:c r="C9" s="18" t="str">
        <x:v>汤</x:v>
      </x:c>
      <x:c r="D9" s="18" t="str">
        <x:v>奶油蘑菇汤</x:v>
      </x:c>
      <x:c r="E9" s="18" t="str">
        <x:v>蘑菇片×1 + 洋葱块×1 + 清汤底×1 + 淡奶油×1</x:v>
      </x:c>
      <x:c r="F9" s="18" t="str">
        <x:v>蘑菇、洋葱和汤底入锅→煮制→加奶油混合→盛碗</x:v>
      </x:c>
      <x:c r="G9" s="18" t="str">
        <x:v>切配台、煮锅</x:v>
      </x:c>
      <x:c r="H9" s="18" t="str">
        <x:v>浅色汤体与蘑菇</x:v>
      </x:c>
      <x:c r="I9" s="18" t="str">
        <x:v>汤碗</x:v>
      </x:c>
      <x:c r="J9" s="18" t="str">
        <x:v>切配→煮汤→奶油收尾</x:v>
      </x:c>
      <x:c r="K9" s="18" t="str">
        <x:v>洋葱、蘑菇、淡奶油、清汤底</x:v>
      </x:c>
      <x:c r="L9" s="18" t="str">
        <x:v>https://www.team17.com/news/overcooked-2-introducing-night-of-the-hangry-horde</x:v>
      </x:c>
      <x:c r="M9" s="28" t="str">
        <x:v>建议稿｜未逐项批准</x:v>
      </x:c>
    </x:row>
    <x:row r="10" ht="100" customHeight="1">
      <x:c r="A10" s="18" t="str">
        <x:v>F06</x:v>
      </x:c>
      <x:c r="B10" s="18" t="str">
        <x:v>正餐</x:v>
      </x:c>
      <x:c r="C10" s="18" t="str">
        <x:v>汤</x:v>
      </x:c>
      <x:c r="D10" s="18" t="str">
        <x:v>土豆蔬菜汤</x:v>
      </x:c>
      <x:c r="E10" s="18" t="str">
        <x:v>土豆块×1 + 胡萝卜块×1 + 洋葱块×1 + 清汤底×1</x:v>
      </x:c>
      <x:c r="F10" s="18" t="str">
        <x:v>全部入锅→炖熟→盛碗</x:v>
      </x:c>
      <x:c r="G10" s="18" t="str">
        <x:v>切配台、煮锅</x:v>
      </x:c>
      <x:c r="H10" s="18" t="str">
        <x:v>可见土豆和胡萝卜块</x:v>
      </x:c>
      <x:c r="I10" s="18" t="str">
        <x:v>汤碗</x:v>
      </x:c>
      <x:c r="J10" s="18" t="str">
        <x:v>共享切配→整锅炖→分装</x:v>
      </x:c>
      <x:c r="K10" s="18" t="str">
        <x:v>洋葱、胡萝卜、土豆、清汤底</x:v>
      </x:c>
      <x:c r="L10" s="18" t="str">
        <x:v>https://www.team17.com/news/overcooked-2-introducing-night-of-the-hangry-horde</x:v>
      </x:c>
      <x:c r="M10" s="28" t="str">
        <x:v>建议稿｜未逐项批准</x:v>
      </x:c>
    </x:row>
    <x:row r="11" ht="100" customHeight="1">
      <x:c r="A11" s="18" t="str">
        <x:v>F07</x:v>
      </x:c>
      <x:c r="B11" s="18" t="str">
        <x:v>正餐</x:v>
      </x:c>
      <x:c r="C11" s="18" t="str">
        <x:v>寿司与刺身</x:v>
      </x:c>
      <x:c r="D11" s="18" t="str">
        <x:v>三文鱼刺身</x:v>
      </x:c>
      <x:c r="E11" s="18" t="str">
        <x:v>三文鱼片×1</x:v>
      </x:c>
      <x:c r="F11" s="18" t="str">
        <x:v>三文鱼切片→装盘</x:v>
      </x:c>
      <x:c r="G11" s="18" t="str">
        <x:v>切配台、组装台</x:v>
      </x:c>
      <x:c r="H11" s="18" t="str">
        <x:v>一份鱼片</x:v>
      </x:c>
      <x:c r="I11" s="18" t="str">
        <x:v>餐盘</x:v>
      </x:c>
      <x:c r="J11" s="18" t="str">
        <x:v>切片→摆盘</x:v>
      </x:c>
      <x:c r="K11" s="18" t="str">
        <x:v>三文鱼肉</x:v>
      </x:c>
      <x:c r="L11" s="18" t="str">
        <x:v>https://www.team17.com/news/the-a-z-of-overcooked-2</x:v>
      </x:c>
      <x:c r="M11" s="28" t="str">
        <x:v>建议稿｜未逐项批准</x:v>
      </x:c>
    </x:row>
    <x:row r="12" ht="100" customHeight="1">
      <x:c r="A12" s="18" t="str">
        <x:v>F08</x:v>
      </x:c>
      <x:c r="B12" s="18" t="str">
        <x:v>正餐</x:v>
      </x:c>
      <x:c r="C12" s="18" t="str">
        <x:v>寿司与刺身</x:v>
      </x:c>
      <x:c r="D12" s="18" t="str">
        <x:v>三文鱼寿司卷</x:v>
      </x:c>
      <x:c r="E12" s="18" t="str">
        <x:v>米饭×1 + 海苔×1 + 三文鱼片×1</x:v>
      </x:c>
      <x:c r="F12" s="18" t="str">
        <x:v>海苔+熟饭+鱼片→一次卷制→装盘</x:v>
      </x:c>
      <x:c r="G12" s="18" t="str">
        <x:v>切配台、组装台、煮锅</x:v>
      </x:c>
      <x:c r="H12" s="18" t="str">
        <x:v>一份切段寿司卷</x:v>
      </x:c>
      <x:c r="I12" s="18" t="str">
        <x:v>餐盘</x:v>
      </x:c>
      <x:c r="J12" s="18" t="str">
        <x:v>煮饭与切鱼并行→卷制</x:v>
      </x:c>
      <x:c r="K12" s="18" t="str">
        <x:v>三文鱼肉、米、海苔</x:v>
      </x:c>
      <x:c r="L12" s="18" t="str">
        <x:v>https://www.team17.com/news/the-a-z-of-overcooked-2</x:v>
      </x:c>
      <x:c r="M12" s="28" t="str">
        <x:v>建议稿｜未逐项批准</x:v>
      </x:c>
    </x:row>
    <x:row r="13" ht="100" customHeight="1">
      <x:c r="A13" s="18" t="str">
        <x:v>F09</x:v>
      </x:c>
      <x:c r="B13" s="18" t="str">
        <x:v>正餐</x:v>
      </x:c>
      <x:c r="C13" s="18" t="str">
        <x:v>寿司与刺身</x:v>
      </x:c>
      <x:c r="D13" s="18" t="str">
        <x:v>黄瓜寿司卷</x:v>
      </x:c>
      <x:c r="E13" s="18" t="str">
        <x:v>米饭×1 + 海苔×1 + 黄瓜片×1</x:v>
      </x:c>
      <x:c r="F13" s="18" t="str">
        <x:v>海苔+熟饭+黄瓜→一次卷制→装盘</x:v>
      </x:c>
      <x:c r="G13" s="18" t="str">
        <x:v>切配台、组装台、煮锅</x:v>
      </x:c>
      <x:c r="H13" s="18" t="str">
        <x:v>黄瓜夹心寿司卷</x:v>
      </x:c>
      <x:c r="I13" s="18" t="str">
        <x:v>餐盘</x:v>
      </x:c>
      <x:c r="J13" s="18" t="str">
        <x:v>共享米饭→换黄瓜馅</x:v>
      </x:c>
      <x:c r="K13" s="18" t="str">
        <x:v>黄瓜、米、海苔</x:v>
      </x:c>
      <x:c r="L13" s="18" t="str">
        <x:v>https://www.team17.com/news/the-a-z-of-overcooked-2</x:v>
      </x:c>
      <x:c r="M13" s="28" t="str">
        <x:v>建议稿｜未逐项批准</x:v>
      </x:c>
    </x:row>
    <x:row r="14" ht="100" customHeight="1">
      <x:c r="A14" s="18" t="str">
        <x:v>F10</x:v>
      </x:c>
      <x:c r="B14" s="18" t="str">
        <x:v>正餐</x:v>
      </x:c>
      <x:c r="C14" s="18" t="str">
        <x:v>寿司与刺身</x:v>
      </x:c>
      <x:c r="D14" s="18" t="str">
        <x:v>熟虾寿司卷</x:v>
      </x:c>
      <x:c r="E14" s="18" t="str">
        <x:v>米饭×1 + 海苔×1 + 熟虾仁×1</x:v>
      </x:c>
      <x:c r="F14" s="18" t="str">
        <x:v>海苔+熟饭+熟虾→一次卷制→装盘</x:v>
      </x:c>
      <x:c r="G14" s="18" t="str">
        <x:v>组装台、煮锅、煎台</x:v>
      </x:c>
      <x:c r="H14" s="18" t="str">
        <x:v>熟虾夹心寿司卷</x:v>
      </x:c>
      <x:c r="I14" s="18" t="str">
        <x:v>餐盘</x:v>
      </x:c>
      <x:c r="J14" s="18" t="str">
        <x:v>煮饭与煎虾并行→卷制</x:v>
      </x:c>
      <x:c r="K14" s="18" t="str">
        <x:v>虾仁、米、海苔</x:v>
      </x:c>
      <x:c r="L14" s="18" t="str">
        <x:v>https://www.team17.com/news/the-a-z-of-overcooked-2</x:v>
      </x:c>
      <x:c r="M14" s="28" t="str">
        <x:v>建议稿｜未逐项批准</x:v>
      </x:c>
    </x:row>
    <x:row r="15" ht="100" customHeight="1">
      <x:c r="A15" s="18" t="str">
        <x:v>F11</x:v>
      </x:c>
      <x:c r="B15" s="18" t="str">
        <x:v>正餐</x:v>
      </x:c>
      <x:c r="C15" s="18" t="str">
        <x:v>汉堡</x:v>
      </x:c>
      <x:c r="D15" s="18" t="str">
        <x:v>经典牛肉汉堡</x:v>
      </x:c>
      <x:c r="E15" s="18" t="str">
        <x:v>汉堡面包×1 + 熟牛肉饼×1</x:v>
      </x:c>
      <x:c r="F15" s="18" t="str">
        <x:v>面包+煎熟肉饼→合拢→装盘</x:v>
      </x:c>
      <x:c r="G15" s="18" t="str">
        <x:v>组装台、煎台</x:v>
      </x:c>
      <x:c r="H15" s="18" t="str">
        <x:v>一层肉饼汉堡</x:v>
      </x:c>
      <x:c r="I15" s="18" t="str">
        <x:v>餐盘</x:v>
      </x:c>
      <x:c r="J15" s="18" t="str">
        <x:v>煎肉→组装</x:v>
      </x:c>
      <x:c r="K15" s="18" t="str">
        <x:v>生牛肉饼、汉堡面包</x:v>
      </x:c>
      <x:c r="L15" s="18" t="str">
        <x:v>https://www.team17.com/news/the-a-z-of-overcooked-2</x:v>
      </x:c>
      <x:c r="M15" s="28" t="str">
        <x:v>建议稿｜未逐项批准</x:v>
      </x:c>
    </x:row>
    <x:row r="16" ht="100" customHeight="1">
      <x:c r="A16" s="18" t="str">
        <x:v>F12</x:v>
      </x:c>
      <x:c r="B16" s="18" t="str">
        <x:v>正餐</x:v>
      </x:c>
      <x:c r="C16" s="18" t="str">
        <x:v>汉堡</x:v>
      </x:c>
      <x:c r="D16" s="18" t="str">
        <x:v>芝士牛肉汉堡</x:v>
      </x:c>
      <x:c r="E16" s="18" t="str">
        <x:v>汉堡面包×1 + 熟牛肉饼×1 + 芝士片×1</x:v>
      </x:c>
      <x:c r="F16" s="18" t="str">
        <x:v>面包+熟肉饼+芝士→合拢→装盘</x:v>
      </x:c>
      <x:c r="G16" s="18" t="str">
        <x:v>组装台、煎台</x:v>
      </x:c>
      <x:c r="H16" s="18" t="str">
        <x:v>可见芝士夹层</x:v>
      </x:c>
      <x:c r="I16" s="18" t="str">
        <x:v>餐盘</x:v>
      </x:c>
      <x:c r="J16" s="18" t="str">
        <x:v>熟肉饼共享→添加芝士</x:v>
      </x:c>
      <x:c r="K16" s="18" t="str">
        <x:v>生牛肉饼、芝士片、汉堡面包</x:v>
      </x:c>
      <x:c r="L16" s="18" t="str">
        <x:v>https://www.team17.com/news/the-a-z-of-overcooked-2</x:v>
      </x:c>
      <x:c r="M16" s="28" t="str">
        <x:v>建议稿｜未逐项批准</x:v>
      </x:c>
    </x:row>
    <x:row r="17" ht="100" customHeight="1">
      <x:c r="A17" s="18" t="str">
        <x:v>F13</x:v>
      </x:c>
      <x:c r="B17" s="18" t="str">
        <x:v>正餐</x:v>
      </x:c>
      <x:c r="C17" s="18" t="str">
        <x:v>汉堡</x:v>
      </x:c>
      <x:c r="D17" s="18" t="str">
        <x:v>豪华蔬菜牛肉汉堡</x:v>
      </x:c>
      <x:c r="E17" s="18" t="str">
        <x:v>汉堡面包×1 + 熟牛肉饼×1 + 芝士片×1 + 生菜片×1 + 番茄块×1</x:v>
      </x:c>
      <x:c r="F17" s="18" t="str">
        <x:v>面包中组合肉饼、芝士和蔬菜→合拢</x:v>
      </x:c>
      <x:c r="G17" s="18" t="str">
        <x:v>切配台、组装台、煎台</x:v>
      </x:c>
      <x:c r="H17" s="18" t="str">
        <x:v>多层牛肉汉堡</x:v>
      </x:c>
      <x:c r="I17" s="18" t="str">
        <x:v>餐盘</x:v>
      </x:c>
      <x:c r="J17" s="18" t="str">
        <x:v>煎肉、切菜并行→汇合</x:v>
      </x:c>
      <x:c r="K17" s="18" t="str">
        <x:v>生菜、番茄、生牛肉饼、芝士片、汉堡面包</x:v>
      </x:c>
      <x:c r="L17" s="18" t="str">
        <x:v>https://www.team17.com/news/the-a-z-of-overcooked-2</x:v>
      </x:c>
      <x:c r="M17" s="28" t="str">
        <x:v>建议稿｜未逐项批准</x:v>
      </x:c>
    </x:row>
    <x:row r="18" ht="100" customHeight="1">
      <x:c r="A18" s="18" t="str">
        <x:v>F14</x:v>
      </x:c>
      <x:c r="B18" s="18" t="str">
        <x:v>正餐</x:v>
      </x:c>
      <x:c r="C18" s="18" t="str">
        <x:v>汉堡</x:v>
      </x:c>
      <x:c r="D18" s="18" t="str">
        <x:v>香脆鸡排汉堡</x:v>
      </x:c>
      <x:c r="E18" s="18" t="str">
        <x:v>汉堡面包×1 + 炸鸡排×1 + 生菜片×1</x:v>
      </x:c>
      <x:c r="F18" s="18" t="str">
        <x:v>炸鸡排+生菜+面包→合拢→装盘</x:v>
      </x:c>
      <x:c r="G18" s="18" t="str">
        <x:v>切配台、组装台、炸锅</x:v>
      </x:c>
      <x:c r="H18" s="18" t="str">
        <x:v>炸鸡夹层汉堡</x:v>
      </x:c>
      <x:c r="I18" s="18" t="str">
        <x:v>餐盘</x:v>
      </x:c>
      <x:c r="J18" s="18" t="str">
        <x:v>裹粉炸鸡→组装</x:v>
      </x:c>
      <x:c r="K18" s="18" t="str">
        <x:v>生菜、生鸡排、汉堡面包、炸粉</x:v>
      </x:c>
      <x:c r="L18" s="18" t="str">
        <x:v>https://www.team17.com/news/the-a-z-of-overcooked-2</x:v>
      </x:c>
      <x:c r="M18" s="28" t="str">
        <x:v>建议稿｜未逐项批准</x:v>
      </x:c>
    </x:row>
    <x:row r="19" ht="100" customHeight="1">
      <x:c r="A19" s="18" t="str">
        <x:v>F15</x:v>
      </x:c>
      <x:c r="B19" s="18" t="str">
        <x:v>正餐</x:v>
      </x:c>
      <x:c r="C19" s="18" t="str">
        <x:v>热狗</x:v>
      </x:c>
      <x:c r="D19" s="18" t="str">
        <x:v>番茄酱热狗</x:v>
      </x:c>
      <x:c r="E19" s="18" t="str">
        <x:v>热狗面包×1 + 熟香肠×1 + 番茄酱×1</x:v>
      </x:c>
      <x:c r="F19" s="18" t="str">
        <x:v>熟香肠放入面包→加番茄酱→装盘</x:v>
      </x:c>
      <x:c r="G19" s="18" t="str">
        <x:v>组装台、煎台</x:v>
      </x:c>
      <x:c r="H19" s="18" t="str">
        <x:v>红酱热狗</x:v>
      </x:c>
      <x:c r="I19" s="18" t="str">
        <x:v>餐盘</x:v>
      </x:c>
      <x:c r="J19" s="18" t="str">
        <x:v>煎香肠→组装收尾</x:v>
      </x:c>
      <x:c r="K19" s="18" t="str">
        <x:v>生香肠、热狗面包、番茄酱</x:v>
      </x:c>
      <x:c r="L19" s="18" t="str">
        <x:v>https://www.team17.com/news/overcooked-2-carnival-of-chaos-dlc-out-now</x:v>
      </x:c>
      <x:c r="M19" s="28" t="str">
        <x:v>建议稿｜未逐项批准</x:v>
      </x:c>
    </x:row>
    <x:row r="20" ht="100" customHeight="1">
      <x:c r="A20" s="18" t="str">
        <x:v>F16</x:v>
      </x:c>
      <x:c r="B20" s="18" t="str">
        <x:v>正餐</x:v>
      </x:c>
      <x:c r="C20" s="18" t="str">
        <x:v>热狗</x:v>
      </x:c>
      <x:c r="D20" s="18" t="str">
        <x:v>洋葱芥末热狗</x:v>
      </x:c>
      <x:c r="E20" s="18" t="str">
        <x:v>热狗面包×1 + 熟香肠×1 + 洋葱块×1 + 芥末酱×1</x:v>
      </x:c>
      <x:c r="F20" s="18" t="str">
        <x:v>熟香肠入面包→加洋葱和芥末酱</x:v>
      </x:c>
      <x:c r="G20" s="18" t="str">
        <x:v>切配台、组装台、煎台</x:v>
      </x:c>
      <x:c r="H20" s="18" t="str">
        <x:v>黄酱、洋葱热狗</x:v>
      </x:c>
      <x:c r="I20" s="18" t="str">
        <x:v>餐盘</x:v>
      </x:c>
      <x:c r="J20" s="18" t="str">
        <x:v>煎香肠与切洋葱并行</x:v>
      </x:c>
      <x:c r="K20" s="18" t="str">
        <x:v>洋葱、生香肠、热狗面包、芥末酱</x:v>
      </x:c>
      <x:c r="L20" s="18" t="str">
        <x:v>https://www.team17.com/news/overcooked-2-carnival-of-chaos-dlc-out-now</x:v>
      </x:c>
      <x:c r="M20" s="28" t="str">
        <x:v>建议稿｜未逐项批准</x:v>
      </x:c>
    </x:row>
    <x:row r="21" ht="100" customHeight="1">
      <x:c r="A21" s="18" t="str">
        <x:v>F17</x:v>
      </x:c>
      <x:c r="B21" s="18" t="str">
        <x:v>正餐</x:v>
      </x:c>
      <x:c r="C21" s="18" t="str">
        <x:v>披萨</x:v>
      </x:c>
      <x:c r="D21" s="18" t="str">
        <x:v>芝士披萨</x:v>
      </x:c>
      <x:c r="E21" s="18" t="str">
        <x:v>披萨面团×1 + 番茄酱×1 + 芝士片×1</x:v>
      </x:c>
      <x:c r="F21" s="18" t="str">
        <x:v>面团一次铺成饼底→加番茄酱和芝士→入烤箱→装盘</x:v>
      </x:c>
      <x:c r="G21" s="18" t="str">
        <x:v>组装台、烤箱</x:v>
      </x:c>
      <x:c r="H21" s="18" t="str">
        <x:v>一份圆形芝士披萨</x:v>
      </x:c>
      <x:c r="I21" s="18" t="str">
        <x:v>披萨盘</x:v>
      </x:c>
      <x:c r="J21" s="18" t="str">
        <x:v>组胚→烤制→出炉</x:v>
      </x:c>
      <x:c r="K21" s="18" t="str">
        <x:v>芝士片、披萨面团、番茄酱</x:v>
      </x:c>
      <x:c r="L21" s="18" t="str">
        <x:v>https://www.team17.com/news/the-a-z-of-overcooked-2</x:v>
      </x:c>
      <x:c r="M21" s="28" t="str">
        <x:v>建议稿｜未逐项批准</x:v>
      </x:c>
    </x:row>
    <x:row r="22" ht="100" customHeight="1">
      <x:c r="A22" s="18" t="str">
        <x:v>F18</x:v>
      </x:c>
      <x:c r="B22" s="18" t="str">
        <x:v>正餐</x:v>
      </x:c>
      <x:c r="C22" s="18" t="str">
        <x:v>披萨</x:v>
      </x:c>
      <x:c r="D22" s="18" t="str">
        <x:v>蘑菇披萨</x:v>
      </x:c>
      <x:c r="E22" s="18" t="str">
        <x:v>披萨面团×1 + 番茄酱×1 + 芝士片×1 + 蘑菇片×1</x:v>
      </x:c>
      <x:c r="F22" s="18" t="str">
        <x:v>饼底+酱+芝士+蘑菇→烤制→装盘</x:v>
      </x:c>
      <x:c r="G22" s="18" t="str">
        <x:v>切配台、组装台、烤箱</x:v>
      </x:c>
      <x:c r="H22" s="18" t="str">
        <x:v>蘑菇披萨</x:v>
      </x:c>
      <x:c r="I22" s="18" t="str">
        <x:v>披萨盘</x:v>
      </x:c>
      <x:c r="J22" s="18" t="str">
        <x:v>共享饼底材料→加蘑菇</x:v>
      </x:c>
      <x:c r="K22" s="18" t="str">
        <x:v>蘑菇、芝士片、披萨面团、番茄酱</x:v>
      </x:c>
      <x:c r="L22" s="18" t="str">
        <x:v>https://www.team17.com/news/the-a-z-of-overcooked-2</x:v>
      </x:c>
      <x:c r="M22" s="28" t="str">
        <x:v>建议稿｜未逐项批准</x:v>
      </x:c>
    </x:row>
    <x:row r="23" ht="100" customHeight="1">
      <x:c r="A23" s="18" t="str">
        <x:v>F19</x:v>
      </x:c>
      <x:c r="B23" s="18" t="str">
        <x:v>正餐</x:v>
      </x:c>
      <x:c r="C23" s="18" t="str">
        <x:v>披萨</x:v>
      </x:c>
      <x:c r="D23" s="18" t="str">
        <x:v>意式腊肠披萨</x:v>
      </x:c>
      <x:c r="E23" s="18" t="str">
        <x:v>披萨面团×1 + 番茄酱×1 + 芝士片×1 + 意式腊肠片×1</x:v>
      </x:c>
      <x:c r="F23" s="18" t="str">
        <x:v>饼底+酱+芝士+腊肠片→烤制→装盘</x:v>
      </x:c>
      <x:c r="G23" s="18" t="str">
        <x:v>组装台、烤箱</x:v>
      </x:c>
      <x:c r="H23" s="18" t="str">
        <x:v>腊肠片披萨</x:v>
      </x:c>
      <x:c r="I23" s="18" t="str">
        <x:v>披萨盘</x:v>
      </x:c>
      <x:c r="J23" s="18" t="str">
        <x:v>预制腊肠→快速组胚</x:v>
      </x:c>
      <x:c r="K23" s="18" t="str">
        <x:v>芝士片、披萨面团、番茄酱、意式腊肠片</x:v>
      </x:c>
      <x:c r="L23" s="18" t="str">
        <x:v>https://www.team17.com/news/the-a-z-of-overcooked-2</x:v>
      </x:c>
      <x:c r="M23" s="28" t="str">
        <x:v>建议稿｜未逐项批准</x:v>
      </x:c>
    </x:row>
    <x:row r="24" ht="100" customHeight="1">
      <x:c r="A24" s="18" t="str">
        <x:v>F20</x:v>
      </x:c>
      <x:c r="B24" s="18" t="str">
        <x:v>正餐</x:v>
      </x:c>
      <x:c r="C24" s="18" t="str">
        <x:v>披萨</x:v>
      </x:c>
      <x:c r="D24" s="18" t="str">
        <x:v>鸡肉蘑菇披萨</x:v>
      </x:c>
      <x:c r="E24" s="18" t="str">
        <x:v>披萨面团×1 + 番茄酱×1 + 芝士片×1 + 熟鸡肉×1 + 蘑菇片×1</x:v>
      </x:c>
      <x:c r="F24" s="18" t="str">
        <x:v>饼底加入酱、芝士、熟鸡肉、蘑菇→烤制</x:v>
      </x:c>
      <x:c r="G24" s="18" t="str">
        <x:v>切配台、组装台、煎台、烤箱</x:v>
      </x:c>
      <x:c r="H24" s="18" t="str">
        <x:v>鸡肉蘑菇披萨</x:v>
      </x:c>
      <x:c r="I24" s="18" t="str">
        <x:v>披萨盘</x:v>
      </x:c>
      <x:c r="J24" s="18" t="str">
        <x:v>煎鸡肉与备饼底并行→汇合</x:v>
      </x:c>
      <x:c r="K24" s="18" t="str">
        <x:v>蘑菇、鸡肉块、芝士片、披萨面团、番茄酱</x:v>
      </x:c>
      <x:c r="L24" s="18" t="str">
        <x:v>https://www.team17.com/news/the-a-z-of-overcooked-2</x:v>
      </x:c>
      <x:c r="M24" s="28" t="str">
        <x:v>建议稿｜未逐项批准</x:v>
      </x:c>
    </x:row>
    <x:row r="25" ht="100" customHeight="1">
      <x:c r="A25" s="18" t="str">
        <x:v>F21</x:v>
      </x:c>
      <x:c r="B25" s="18" t="str">
        <x:v>正餐</x:v>
      </x:c>
      <x:c r="C25" s="18" t="str">
        <x:v>意面</x:v>
      </x:c>
      <x:c r="D25" s="18" t="str">
        <x:v>番茄意面</x:v>
      </x:c>
      <x:c r="E25" s="18" t="str">
        <x:v>熟意面×1 + 番茄热酱×1</x:v>
      </x:c>
      <x:c r="F25" s="18" t="str">
        <x:v>熟意面与番茄热酱合盘</x:v>
      </x:c>
      <x:c r="G25" s="18" t="str">
        <x:v>切配台、组装台、煮锅</x:v>
      </x:c>
      <x:c r="H25" s="18" t="str">
        <x:v>红酱意面</x:v>
      </x:c>
      <x:c r="I25" s="18" t="str">
        <x:v>餐盘</x:v>
      </x:c>
      <x:c r="J25" s="18" t="str">
        <x:v>煮面与熬酱并行→合盘</x:v>
      </x:c>
      <x:c r="K25" s="18" t="str">
        <x:v>番茄、干意面</x:v>
      </x:c>
      <x:c r="L25" s="18" t="str">
        <x:v>https://www.team17.com/news/the-a-z-of-overcooked-2</x:v>
      </x:c>
      <x:c r="M25" s="28" t="str">
        <x:v>建议稿｜未逐项批准</x:v>
      </x:c>
    </x:row>
    <x:row r="26" ht="100" customHeight="1">
      <x:c r="A26" s="18" t="str">
        <x:v>F22</x:v>
      </x:c>
      <x:c r="B26" s="18" t="str">
        <x:v>正餐</x:v>
      </x:c>
      <x:c r="C26" s="18" t="str">
        <x:v>意面</x:v>
      </x:c>
      <x:c r="D26" s="18" t="str">
        <x:v>牛肉肉酱意面</x:v>
      </x:c>
      <x:c r="E26" s="18" t="str">
        <x:v>熟意面×1 + 牛肉番茄肉酱×1</x:v>
      </x:c>
      <x:c r="F26" s="18" t="str">
        <x:v>熟意面+牛肉番茄肉酱→合盘</x:v>
      </x:c>
      <x:c r="G26" s="18" t="str">
        <x:v>切配台、组装台、煮锅、煎台</x:v>
      </x:c>
      <x:c r="H26" s="18" t="str">
        <x:v>可见肉末红酱意面</x:v>
      </x:c>
      <x:c r="I26" s="18" t="str">
        <x:v>餐盘</x:v>
      </x:c>
      <x:c r="J26" s="18" t="str">
        <x:v>煮面与制作肉酱并行</x:v>
      </x:c>
      <x:c r="K26" s="18" t="str">
        <x:v>番茄、牛肉末、干意面</x:v>
      </x:c>
      <x:c r="L26" s="18" t="str">
        <x:v>https://www.team17.com/news/the-a-z-of-overcooked-2</x:v>
      </x:c>
      <x:c r="M26" s="28" t="str">
        <x:v>建议稿｜未逐项批准</x:v>
      </x:c>
    </x:row>
    <x:row r="27" ht="100" customHeight="1">
      <x:c r="A27" s="18" t="str">
        <x:v>F23</x:v>
      </x:c>
      <x:c r="B27" s="18" t="str">
        <x:v>正餐</x:v>
      </x:c>
      <x:c r="C27" s="18" t="str">
        <x:v>意面</x:v>
      </x:c>
      <x:c r="D27" s="18" t="str">
        <x:v>奶油蘑菇意面</x:v>
      </x:c>
      <x:c r="E27" s="18" t="str">
        <x:v>熟意面×1 + 奶油蘑菇酱×1</x:v>
      </x:c>
      <x:c r="F27" s="18" t="str">
        <x:v>熟意面+奶油蘑菇酱→合盘</x:v>
      </x:c>
      <x:c r="G27" s="18" t="str">
        <x:v>切配台、组装台、煮锅、煎台</x:v>
      </x:c>
      <x:c r="H27" s="18" t="str">
        <x:v>浅色蘑菇意面</x:v>
      </x:c>
      <x:c r="I27" s="18" t="str">
        <x:v>餐盘</x:v>
      </x:c>
      <x:c r="J27" s="18" t="str">
        <x:v>煮面与奶油酱并行</x:v>
      </x:c>
      <x:c r="K27" s="18" t="str">
        <x:v>蘑菇、淡奶油、干意面</x:v>
      </x:c>
      <x:c r="L27" s="18" t="str">
        <x:v>https://www.team17.com/news/the-a-z-of-overcooked-2</x:v>
      </x:c>
      <x:c r="M27" s="28" t="str">
        <x:v>建议稿｜未逐项批准</x:v>
      </x:c>
    </x:row>
    <x:row r="28" ht="100" customHeight="1">
      <x:c r="A28" s="18" t="str">
        <x:v>F24</x:v>
      </x:c>
      <x:c r="B28" s="18" t="str">
        <x:v>正餐</x:v>
      </x:c>
      <x:c r="C28" s="18" t="str">
        <x:v>意面</x:v>
      </x:c>
      <x:c r="D28" s="18" t="str">
        <x:v>番茄海鲜意面</x:v>
      </x:c>
      <x:c r="E28" s="18" t="str">
        <x:v>熟意面×1 + 番茄热酱×1 + 熟虾仁×1 + 熟白鱼×1</x:v>
      </x:c>
      <x:c r="F28" s="18" t="str">
        <x:v>面、热酱、熟虾和熟鱼→合盘</x:v>
      </x:c>
      <x:c r="G28" s="18" t="str">
        <x:v>切配台、组装台、煮锅、煎台</x:v>
      </x:c>
      <x:c r="H28" s="18" t="str">
        <x:v>鱼虾红酱意面</x:v>
      </x:c>
      <x:c r="I28" s="18" t="str">
        <x:v>餐盘</x:v>
      </x:c>
      <x:c r="J28" s="18" t="str">
        <x:v>面、酱、海鲜三路汇合</x:v>
      </x:c>
      <x:c r="K28" s="18" t="str">
        <x:v>番茄、白身鱼肉、虾仁、干意面</x:v>
      </x:c>
      <x:c r="L28" s="18" t="str">
        <x:v>https://www.team17.com/news/the-a-z-of-overcooked-2</x:v>
      </x:c>
      <x:c r="M28" s="28" t="str">
        <x:v>建议稿｜未逐项批准</x:v>
      </x:c>
    </x:row>
    <x:row r="29" ht="100" customHeight="1">
      <x:c r="A29" s="18" t="str">
        <x:v>F25</x:v>
      </x:c>
      <x:c r="B29" s="18" t="str">
        <x:v>正餐</x:v>
      </x:c>
      <x:c r="C29" s="18" t="str">
        <x:v>米饭卷饼</x:v>
      </x:c>
      <x:c r="D29" s="18" t="str">
        <x:v>牛肉卷饼</x:v>
      </x:c>
      <x:c r="E29" s="18" t="str">
        <x:v>卷饼皮×1 + 米饭×1 + 熟牛肉×1</x:v>
      </x:c>
      <x:c r="F29" s="18" t="str">
        <x:v>饼皮+熟饭+熟牛肉→一次包卷→装盘</x:v>
      </x:c>
      <x:c r="G29" s="18" t="str">
        <x:v>切配台、组装台、煮锅、煎台</x:v>
      </x:c>
      <x:c r="H29" s="18" t="str">
        <x:v>牛肉米饭卷饼</x:v>
      </x:c>
      <x:c r="I29" s="18" t="str">
        <x:v>餐盘</x:v>
      </x:c>
      <x:c r="J29" s="18" t="str">
        <x:v>煮饭与煎肉并行</x:v>
      </x:c>
      <x:c r="K29" s="18" t="str">
        <x:v>牛肉块、米、卷饼皮</x:v>
      </x:c>
      <x:c r="L29" s="18" t="str">
        <x:v>https://www.team17.com/news/the-a-z-of-overcooked-2</x:v>
      </x:c>
      <x:c r="M29" s="28" t="str">
        <x:v>建议稿｜未逐项批准</x:v>
      </x:c>
    </x:row>
    <x:row r="30" ht="100" customHeight="1">
      <x:c r="A30" s="18" t="str">
        <x:v>F26</x:v>
      </x:c>
      <x:c r="B30" s="18" t="str">
        <x:v>正餐</x:v>
      </x:c>
      <x:c r="C30" s="18" t="str">
        <x:v>米饭卷饼</x:v>
      </x:c>
      <x:c r="D30" s="18" t="str">
        <x:v>鸡肉卷饼</x:v>
      </x:c>
      <x:c r="E30" s="18" t="str">
        <x:v>卷饼皮×1 + 米饭×1 + 熟鸡肉×1</x:v>
      </x:c>
      <x:c r="F30" s="18" t="str">
        <x:v>饼皮+熟饭+熟鸡肉→包卷→装盘</x:v>
      </x:c>
      <x:c r="G30" s="18" t="str">
        <x:v>切配台、组装台、煮锅、煎台</x:v>
      </x:c>
      <x:c r="H30" s="18" t="str">
        <x:v>鸡肉米饭卷饼</x:v>
      </x:c>
      <x:c r="I30" s="18" t="str">
        <x:v>餐盘</x:v>
      </x:c>
      <x:c r="J30" s="18" t="str">
        <x:v>熟鸡肉可跨菜共享</x:v>
      </x:c>
      <x:c r="K30" s="18" t="str">
        <x:v>鸡肉块、米、卷饼皮</x:v>
      </x:c>
      <x:c r="L30" s="18" t="str">
        <x:v>https://www.team17.com/news/the-a-z-of-overcooked-2</x:v>
      </x:c>
      <x:c r="M30" s="28" t="str">
        <x:v>建议稿｜未逐项批准</x:v>
      </x:c>
    </x:row>
    <x:row r="31" ht="100" customHeight="1">
      <x:c r="A31" s="18" t="str">
        <x:v>F27</x:v>
      </x:c>
      <x:c r="B31" s="18" t="str">
        <x:v>正餐</x:v>
      </x:c>
      <x:c r="C31" s="18" t="str">
        <x:v>米饭卷饼</x:v>
      </x:c>
      <x:c r="D31" s="18" t="str">
        <x:v>蘑菇卷饼</x:v>
      </x:c>
      <x:c r="E31" s="18" t="str">
        <x:v>卷饼皮×1 + 米饭×1 + 熟蘑菇×1</x:v>
      </x:c>
      <x:c r="F31" s="18" t="str">
        <x:v>饼皮+熟饭+熟蘑菇→包卷→装盘</x:v>
      </x:c>
      <x:c r="G31" s="18" t="str">
        <x:v>切配台、组装台、煮锅、煎台</x:v>
      </x:c>
      <x:c r="H31" s="18" t="str">
        <x:v>蘑菇米饭卷饼</x:v>
      </x:c>
      <x:c r="I31" s="18" t="str">
        <x:v>餐盘</x:v>
      </x:c>
      <x:c r="J31" s="18" t="str">
        <x:v>共享米饭→蘑菇路线</x:v>
      </x:c>
      <x:c r="K31" s="18" t="str">
        <x:v>蘑菇、米、卷饼皮</x:v>
      </x:c>
      <x:c r="L31" s="18" t="str">
        <x:v>https://www.team17.com/news/the-a-z-of-overcooked-2</x:v>
      </x:c>
      <x:c r="M31" s="28" t="str">
        <x:v>建议稿｜未逐项批准</x:v>
      </x:c>
    </x:row>
    <x:row r="32" ht="100" customHeight="1">
      <x:c r="A32" s="18" t="str">
        <x:v>F28</x:v>
      </x:c>
      <x:c r="B32" s="18" t="str">
        <x:v>正餐</x:v>
      </x:c>
      <x:c r="C32" s="18" t="str">
        <x:v>蒸制</x:v>
      </x:c>
      <x:c r="D32" s="18" t="str">
        <x:v>牛肉蒸饺</x:v>
      </x:c>
      <x:c r="E32" s="18" t="str">
        <x:v>饺子皮×1 + 牛肉末×1 + 洋葱块×1</x:v>
      </x:c>
      <x:c r="F32" s="18" t="str">
        <x:v>牛肉末+洋葱混馅→与皮一次包成一份→蒸熟</x:v>
      </x:c>
      <x:c r="G32" s="18" t="str">
        <x:v>切配台、组装台、蒸锅</x:v>
      </x:c>
      <x:c r="H32" s="18" t="str">
        <x:v>一份牛肉蒸饺</x:v>
      </x:c>
      <x:c r="I32" s="18" t="str">
        <x:v>蒸食盘</x:v>
      </x:c>
      <x:c r="J32" s="18" t="str">
        <x:v>备馅→包制→蒸制</x:v>
      </x:c>
      <x:c r="K32" s="18" t="str">
        <x:v>洋葱、牛肉末、饺子皮</x:v>
      </x:c>
      <x:c r="L32" s="18" t="str">
        <x:v>https://www.team17.com/news/the-a-z-of-overcooked-2</x:v>
      </x:c>
      <x:c r="M32" s="28" t="str">
        <x:v>建议稿｜未逐项批准</x:v>
      </x:c>
    </x:row>
    <x:row r="33" ht="100" customHeight="1">
      <x:c r="A33" s="18" t="str">
        <x:v>F29</x:v>
      </x:c>
      <x:c r="B33" s="18" t="str">
        <x:v>正餐</x:v>
      </x:c>
      <x:c r="C33" s="18" t="str">
        <x:v>蒸制</x:v>
      </x:c>
      <x:c r="D33" s="18" t="str">
        <x:v>鲜虾蒸饺</x:v>
      </x:c>
      <x:c r="E33" s="18" t="str">
        <x:v>饺子皮×1 + 虾仁×1</x:v>
      </x:c>
      <x:c r="F33" s="18" t="str">
        <x:v>虾仁+饺子皮→一次包成一份→蒸熟</x:v>
      </x:c>
      <x:c r="G33" s="18" t="str">
        <x:v>组装台、蒸锅</x:v>
      </x:c>
      <x:c r="H33" s="18" t="str">
        <x:v>一份鲜虾蒸饺</x:v>
      </x:c>
      <x:c r="I33" s="18" t="str">
        <x:v>蒸食盘</x:v>
      </x:c>
      <x:c r="J33" s="18" t="str">
        <x:v>包制→蒸制</x:v>
      </x:c>
      <x:c r="K33" s="18" t="str">
        <x:v>虾仁、饺子皮</x:v>
      </x:c>
      <x:c r="L33" s="18" t="str">
        <x:v>https://www.team17.com/news/the-a-z-of-overcooked-2</x:v>
      </x:c>
      <x:c r="M33" s="28" t="str">
        <x:v>建议稿｜未逐项批准</x:v>
      </x:c>
    </x:row>
    <x:row r="34" ht="100" customHeight="1">
      <x:c r="A34" s="18" t="str">
        <x:v>F30</x:v>
      </x:c>
      <x:c r="B34" s="18" t="str">
        <x:v>正餐</x:v>
      </x:c>
      <x:c r="C34" s="18" t="str">
        <x:v>蒸制</x:v>
      </x:c>
      <x:c r="D34" s="18" t="str">
        <x:v>蘑菇胡萝卜蒸饺</x:v>
      </x:c>
      <x:c r="E34" s="18" t="str">
        <x:v>饺子皮×1 + 蘑菇片×1 + 胡萝卜块×1</x:v>
      </x:c>
      <x:c r="F34" s="18" t="str">
        <x:v>蘑菇和胡萝卜混馅→包制→蒸熟</x:v>
      </x:c>
      <x:c r="G34" s="18" t="str">
        <x:v>切配台、组装台、蒸锅</x:v>
      </x:c>
      <x:c r="H34" s="18" t="str">
        <x:v>一份蔬菜蒸饺</x:v>
      </x:c>
      <x:c r="I34" s="18" t="str">
        <x:v>蒸食盘</x:v>
      </x:c>
      <x:c r="J34" s="18" t="str">
        <x:v>蔬菜切配→包制→蒸制</x:v>
      </x:c>
      <x:c r="K34" s="18" t="str">
        <x:v>蘑菇、胡萝卜、饺子皮</x:v>
      </x:c>
      <x:c r="L34" s="18" t="str">
        <x:v>https://www.team17.com/news/the-a-z-of-overcooked-2</x:v>
      </x:c>
      <x:c r="M34" s="28" t="str">
        <x:v>建议稿｜未逐项批准</x:v>
      </x:c>
    </x:row>
    <x:row r="35" ht="100" customHeight="1">
      <x:c r="A35" s="18" t="str">
        <x:v>F31</x:v>
      </x:c>
      <x:c r="B35" s="18" t="str">
        <x:v>正餐</x:v>
      </x:c>
      <x:c r="C35" s="18" t="str">
        <x:v>蒸制</x:v>
      </x:c>
      <x:c r="D35" s="18" t="str">
        <x:v>清蒸鱼</x:v>
      </x:c>
      <x:c r="E35" s="18" t="str">
        <x:v>白身鱼肉×1</x:v>
      </x:c>
      <x:c r="F35" s="18" t="str">
        <x:v>白身鱼肉放入蒸锅→蒸熟→盛盘</x:v>
      </x:c>
      <x:c r="G35" s="18" t="str">
        <x:v>蒸锅</x:v>
      </x:c>
      <x:c r="H35" s="18" t="str">
        <x:v>一份蒸鱼</x:v>
      </x:c>
      <x:c r="I35" s="18" t="str">
        <x:v>蒸食盘</x:v>
      </x:c>
      <x:c r="J35" s="18" t="str">
        <x:v>无需包制，直接接蒸制路线</x:v>
      </x:c>
      <x:c r="K35" s="18" t="str">
        <x:v>白身鱼肉</x:v>
      </x:c>
      <x:c r="L35" s="18" t="str">
        <x:v>https://www.team17.com/news/the-a-z-of-overcooked-2</x:v>
      </x:c>
      <x:c r="M35" s="28" t="str">
        <x:v>建议稿｜未逐项批准</x:v>
      </x:c>
    </x:row>
    <x:row r="36" ht="100" customHeight="1">
      <x:c r="A36" s="18" t="str">
        <x:v>F32</x:v>
      </x:c>
      <x:c r="B36" s="18" t="str">
        <x:v>正餐</x:v>
      </x:c>
      <x:c r="C36" s="18" t="str">
        <x:v>炸物</x:v>
      </x:c>
      <x:c r="D36" s="18" t="str">
        <x:v>薯条</x:v>
      </x:c>
      <x:c r="E36" s="18" t="str">
        <x:v>炸薯条×1</x:v>
      </x:c>
      <x:c r="F36" s="18" t="str">
        <x:v>炸好的薯条→装盘</x:v>
      </x:c>
      <x:c r="G36" s="18" t="str">
        <x:v>组装台、炸锅</x:v>
      </x:c>
      <x:c r="H36" s="18" t="str">
        <x:v>一份金黄薯条</x:v>
      </x:c>
      <x:c r="I36" s="18" t="str">
        <x:v>餐盘</x:v>
      </x:c>
      <x:c r="J36" s="18" t="str">
        <x:v>炸制→出餐</x:v>
      </x:c>
      <x:c r="K36" s="18" t="str">
        <x:v>生薯条</x:v>
      </x:c>
      <x:c r="L36" s="18" t="str">
        <x:v>https://www.team17.com/news/the-a-z-of-overcooked-2</x:v>
      </x:c>
      <x:c r="M36" s="28" t="str">
        <x:v>建议稿｜未逐项批准</x:v>
      </x:c>
    </x:row>
    <x:row r="37" ht="100" customHeight="1">
      <x:c r="A37" s="18" t="str">
        <x:v>F33</x:v>
      </x:c>
      <x:c r="B37" s="18" t="str">
        <x:v>正餐</x:v>
      </x:c>
      <x:c r="C37" s="18" t="str">
        <x:v>炸物</x:v>
      </x:c>
      <x:c r="D37" s="18" t="str">
        <x:v>炸鸡块</x:v>
      </x:c>
      <x:c r="E37" s="18" t="str">
        <x:v>炸鸡块×1</x:v>
      </x:c>
      <x:c r="F37" s="18" t="str">
        <x:v>炸好的鸡块→装盘</x:v>
      </x:c>
      <x:c r="G37" s="18" t="str">
        <x:v>切配台、组装台、炸锅</x:v>
      </x:c>
      <x:c r="H37" s="18" t="str">
        <x:v>一份炸鸡块</x:v>
      </x:c>
      <x:c r="I37" s="18" t="str">
        <x:v>餐盘</x:v>
      </x:c>
      <x:c r="J37" s="18" t="str">
        <x:v>切配裹粉→炸制→出餐</x:v>
      </x:c>
      <x:c r="K37" s="18" t="str">
        <x:v>鸡肉块、炸粉</x:v>
      </x:c>
      <x:c r="L37" s="18" t="str">
        <x:v>https://www.team17.com/news/the-a-z-of-overcooked-2</x:v>
      </x:c>
      <x:c r="M37" s="28" t="str">
        <x:v>建议稿｜未逐项批准</x:v>
      </x:c>
    </x:row>
    <x:row r="38" ht="100" customHeight="1">
      <x:c r="A38" s="18" t="str">
        <x:v>F34</x:v>
      </x:c>
      <x:c r="B38" s="18" t="str">
        <x:v>正餐</x:v>
      </x:c>
      <x:c r="C38" s="18" t="str">
        <x:v>炸物</x:v>
      </x:c>
      <x:c r="D38" s="18" t="str">
        <x:v>鸡块薯条拼盘</x:v>
      </x:c>
      <x:c r="E38" s="18" t="str">
        <x:v>炸鸡块×1 + 炸薯条×1</x:v>
      </x:c>
      <x:c r="F38" s="18" t="str">
        <x:v>鸡块与薯条分别炸好→同盘组合</x:v>
      </x:c>
      <x:c r="G38" s="18" t="str">
        <x:v>切配台、组装台、炸锅</x:v>
      </x:c>
      <x:c r="H38" s="18" t="str">
        <x:v>两种炸物拼盘</x:v>
      </x:c>
      <x:c r="I38" s="18" t="str">
        <x:v>餐盘</x:v>
      </x:c>
      <x:c r="J38" s="18" t="str">
        <x:v>两路炸物汇合</x:v>
      </x:c>
      <x:c r="K38" s="18" t="str">
        <x:v>鸡肉块、生薯条、炸粉</x:v>
      </x:c>
      <x:c r="L38" s="18" t="str">
        <x:v>https://www.team17.com/news/the-a-z-of-overcooked-2</x:v>
      </x:c>
      <x:c r="M38" s="28" t="str">
        <x:v>建议稿｜未逐项批准</x:v>
      </x:c>
    </x:row>
    <x:row r="39" ht="100" customHeight="1">
      <x:c r="A39" s="18" t="str">
        <x:v>F35</x:v>
      </x:c>
      <x:c r="B39" s="18" t="str">
        <x:v>正餐</x:v>
      </x:c>
      <x:c r="C39" s="18" t="str">
        <x:v>炸物</x:v>
      </x:c>
      <x:c r="D39" s="18" t="str">
        <x:v>炸鱼薯条</x:v>
      </x:c>
      <x:c r="E39" s="18" t="str">
        <x:v>炸鱼排×1 + 炸薯条×1</x:v>
      </x:c>
      <x:c r="F39" s="18" t="str">
        <x:v>鱼排与薯条分别炸好→同盘组合</x:v>
      </x:c>
      <x:c r="G39" s="18" t="str">
        <x:v>组装台、炸锅</x:v>
      </x:c>
      <x:c r="H39" s="18" t="str">
        <x:v>炸鱼排与薯条</x:v>
      </x:c>
      <x:c r="I39" s="18" t="str">
        <x:v>餐盘</x:v>
      </x:c>
      <x:c r="J39" s="18" t="str">
        <x:v>裹粉鱼排与薯条并行</x:v>
      </x:c>
      <x:c r="K39" s="18" t="str">
        <x:v>白身鱼肉、生薯条、炸粉</x:v>
      </x:c>
      <x:c r="L39" s="18" t="str">
        <x:v>https://www.team17.com/news/the-a-z-of-overcooked-2</x:v>
      </x:c>
      <x:c r="M39" s="28" t="str">
        <x:v>建议稿｜未逐项批准</x:v>
      </x:c>
    </x:row>
    <x:row r="40" ht="100" customHeight="1">
      <x:c r="A40" s="18" t="str">
        <x:v>F36</x:v>
      </x:c>
      <x:c r="B40" s="18" t="str">
        <x:v>正餐</x:v>
      </x:c>
      <x:c r="C40" s="18" t="str">
        <x:v>烤串</x:v>
      </x:c>
      <x:c r="D40" s="18" t="str">
        <x:v>牛肉蘑菇串</x:v>
      </x:c>
      <x:c r="E40" s="18" t="str">
        <x:v>牛肉切配件×1 + 蘑菇片×1 + 洋葱块×1</x:v>
      </x:c>
      <x:c r="F40" s="18" t="str">
        <x:v>牛肉、蘑菇、洋葱→一次串制→烤熟</x:v>
      </x:c>
      <x:c r="G40" s="18" t="str">
        <x:v>切配台、组装台、烤架</x:v>
      </x:c>
      <x:c r="H40" s="18" t="str">
        <x:v>一份牛肉蔬菜串</x:v>
      </x:c>
      <x:c r="I40" s="18" t="str">
        <x:v>餐盘</x:v>
      </x:c>
      <x:c r="J40" s="18" t="str">
        <x:v>切配→串制→烤制</x:v>
      </x:c>
      <x:c r="K40" s="18" t="str">
        <x:v>洋葱、蘑菇、牛肉块</x:v>
      </x:c>
      <x:c r="L40" s="18" t="str">
        <x:v>https://www.team17.com/news/the-a-z-of-overcooked-2</x:v>
      </x:c>
      <x:c r="M40" s="28" t="str">
        <x:v>建议稿｜未逐项批准</x:v>
      </x:c>
    </x:row>
    <x:row r="41" ht="100" customHeight="1">
      <x:c r="A41" s="18" t="str">
        <x:v>F37</x:v>
      </x:c>
      <x:c r="B41" s="18" t="str">
        <x:v>正餐</x:v>
      </x:c>
      <x:c r="C41" s="18" t="str">
        <x:v>烤串</x:v>
      </x:c>
      <x:c r="D41" s="18" t="str">
        <x:v>鸡肉蔬菜串</x:v>
      </x:c>
      <x:c r="E41" s="18" t="str">
        <x:v>鸡肉切配件×1 + 洋葱块×1 + 番茄块×1</x:v>
      </x:c>
      <x:c r="F41" s="18" t="str">
        <x:v>鸡肉、洋葱、番茄→串制→烤熟</x:v>
      </x:c>
      <x:c r="G41" s="18" t="str">
        <x:v>切配台、组装台、烤架</x:v>
      </x:c>
      <x:c r="H41" s="18" t="str">
        <x:v>一份鸡肉蔬菜串</x:v>
      </x:c>
      <x:c r="I41" s="18" t="str">
        <x:v>餐盘</x:v>
      </x:c>
      <x:c r="J41" s="18" t="str">
        <x:v>共享肉菜备料→烤制</x:v>
      </x:c>
      <x:c r="K41" s="18" t="str">
        <x:v>番茄、洋葱、鸡肉块</x:v>
      </x:c>
      <x:c r="L41" s="18" t="str">
        <x:v>https://www.team17.com/news/the-a-z-of-overcooked-2</x:v>
      </x:c>
      <x:c r="M41" s="28" t="str">
        <x:v>建议稿｜未逐项批准</x:v>
      </x:c>
    </x:row>
    <x:row r="42" ht="100" customHeight="1">
      <x:c r="A42" s="18" t="str">
        <x:v>F38</x:v>
      </x:c>
      <x:c r="B42" s="18" t="str">
        <x:v>正餐</x:v>
      </x:c>
      <x:c r="C42" s="18" t="str">
        <x:v>烤串</x:v>
      </x:c>
      <x:c r="D42" s="18" t="str">
        <x:v>三色蔬菜串</x:v>
      </x:c>
      <x:c r="E42" s="18" t="str">
        <x:v>蘑菇片×1 + 西兰花块×1 + 洋葱块×1</x:v>
      </x:c>
      <x:c r="F42" s="18" t="str">
        <x:v>三种蔬菜→串制→烤熟</x:v>
      </x:c>
      <x:c r="G42" s="18" t="str">
        <x:v>切配台、组装台、烤架</x:v>
      </x:c>
      <x:c r="H42" s="18" t="str">
        <x:v>蔬菜串</x:v>
      </x:c>
      <x:c r="I42" s="18" t="str">
        <x:v>餐盘</x:v>
      </x:c>
      <x:c r="J42" s="18" t="str">
        <x:v>不走肉类预处理路线</x:v>
      </x:c>
      <x:c r="K42" s="18" t="str">
        <x:v>洋葱、蘑菇、西兰花</x:v>
      </x:c>
      <x:c r="L42" s="18" t="str">
        <x:v>https://www.team17.com/news/the-a-z-of-overcooked-2</x:v>
      </x:c>
      <x:c r="M42" s="28" t="str">
        <x:v>建议稿｜未逐项批准</x:v>
      </x:c>
    </x:row>
    <x:row r="43" ht="100" customHeight="1">
      <x:c r="A43" s="18" t="str">
        <x:v>F39</x:v>
      </x:c>
      <x:c r="B43" s="18" t="str">
        <x:v>正餐</x:v>
      </x:c>
      <x:c r="C43" s="18" t="str">
        <x:v>烤制拼盘</x:v>
      </x:c>
      <x:c r="D43" s="18" t="str">
        <x:v>烤鸡蔬菜盘</x:v>
      </x:c>
      <x:c r="E43" s="18" t="str">
        <x:v>鸡肉切配件×1 + 土豆块×1 + 胡萝卜块×1</x:v>
      </x:c>
      <x:c r="F43" s="18" t="str">
        <x:v>生鸡肉与蔬菜同入烤盘→统一烤熟→盛盘</x:v>
      </x:c>
      <x:c r="G43" s="18" t="str">
        <x:v>切配台、组装台、烤箱</x:v>
      </x:c>
      <x:c r="H43" s="18" t="str">
        <x:v>烤鸡肉与蔬菜</x:v>
      </x:c>
      <x:c r="I43" s="18" t="str">
        <x:v>大餐盘</x:v>
      </x:c>
      <x:c r="J43" s="18" t="str">
        <x:v>多人准备同一烤盘</x:v>
      </x:c>
      <x:c r="K43" s="18" t="str">
        <x:v>胡萝卜、土豆、鸡肉块</x:v>
      </x:c>
      <x:c r="L43" s="18" t="str">
        <x:v>https://www.team17.com/news/overcooked-2-introducing-night-of-the-hangry-horde</x:v>
      </x:c>
      <x:c r="M43" s="28" t="str">
        <x:v>建议稿｜未逐项批准</x:v>
      </x:c>
    </x:row>
    <x:row r="44" ht="100" customHeight="1">
      <x:c r="A44" s="18" t="str">
        <x:v>F40</x:v>
      </x:c>
      <x:c r="B44" s="18" t="str">
        <x:v>正餐</x:v>
      </x:c>
      <x:c r="C44" s="18" t="str">
        <x:v>烤制拼盘</x:v>
      </x:c>
      <x:c r="D44" s="18" t="str">
        <x:v>香肠土豆烤盘</x:v>
      </x:c>
      <x:c r="E44" s="18" t="str">
        <x:v>生香肠×1 + 土豆块×1 + 蘑菇片×1</x:v>
      </x:c>
      <x:c r="F44" s="18" t="str">
        <x:v>生香肠、土豆、蘑菇→组合烤盘→烤熟</x:v>
      </x:c>
      <x:c r="G44" s="18" t="str">
        <x:v>切配台、组装台、烤箱</x:v>
      </x:c>
      <x:c r="H44" s="18" t="str">
        <x:v>香肠蔬菜拼盘</x:v>
      </x:c>
      <x:c r="I44" s="18" t="str">
        <x:v>大餐盘</x:v>
      </x:c>
      <x:c r="J44" s="18" t="str">
        <x:v>共用烤制设备与土豆备料</x:v>
      </x:c>
      <x:c r="K44" s="18" t="str">
        <x:v>蘑菇、土豆、生香肠</x:v>
      </x:c>
      <x:c r="L44" s="18" t="str">
        <x:v>https://www.team17.com/news/overcooked-2-introducing-night-of-the-hangry-horde</x:v>
      </x:c>
      <x:c r="M44" s="28" t="str">
        <x:v>建议稿｜未逐项批准</x:v>
      </x:c>
    </x:row>
    <x:row r="45" ht="100" customHeight="1">
      <x:c r="A45" s="18" t="str">
        <x:v>F41</x:v>
      </x:c>
      <x:c r="B45" s="18" t="str">
        <x:v>正餐</x:v>
      </x:c>
      <x:c r="C45" s="18" t="str">
        <x:v>火锅</x:v>
      </x:c>
      <x:c r="D45" s="18" t="str">
        <x:v>牛肉蔬菜小火锅</x:v>
      </x:c>
      <x:c r="E45" s="18" t="str">
        <x:v>牛肉切配件×1 + 蘑菇片×1 + 西兰花块×1 + 清汤底×1</x:v>
      </x:c>
      <x:c r="F45" s="18" t="str">
        <x:v>全部入锅→煮熟→转入出餐小锅</x:v>
      </x:c>
      <x:c r="G45" s="18" t="str">
        <x:v>切配台、煮锅</x:v>
      </x:c>
      <x:c r="H45" s="18" t="str">
        <x:v>牛肉蔬菜小火锅</x:v>
      </x:c>
      <x:c r="I45" s="18" t="str">
        <x:v>出餐小锅</x:v>
      </x:c>
      <x:c r="J45" s="18" t="str">
        <x:v>切配→煮制→换容器</x:v>
      </x:c>
      <x:c r="K45" s="18" t="str">
        <x:v>蘑菇、西兰花、牛肉块、清汤底</x:v>
      </x:c>
      <x:c r="L45" s="18" t="str">
        <x:v>https://www.team17.com/news/overcooked-2-faq</x:v>
      </x:c>
      <x:c r="M45" s="28" t="str">
        <x:v>建议稿｜未逐项批准</x:v>
      </x:c>
    </x:row>
    <x:row r="46" ht="100" customHeight="1">
      <x:c r="A46" s="18" t="str">
        <x:v>F42</x:v>
      </x:c>
      <x:c r="B46" s="18" t="str">
        <x:v>正餐</x:v>
      </x:c>
      <x:c r="C46" s="18" t="str">
        <x:v>火锅</x:v>
      </x:c>
      <x:c r="D46" s="18" t="str">
        <x:v>海鲜蔬菜小火锅</x:v>
      </x:c>
      <x:c r="E46" s="18" t="str">
        <x:v>白鱼切配件×1 + 虾仁×1 + 蘑菇片×1 + 清汤底×1</x:v>
      </x:c>
      <x:c r="F46" s="18" t="str">
        <x:v>全部入锅→煮熟→转入出餐小锅</x:v>
      </x:c>
      <x:c r="G46" s="18" t="str">
        <x:v>切配台、煮锅</x:v>
      </x:c>
      <x:c r="H46" s="18" t="str">
        <x:v>鱼虾小火锅</x:v>
      </x:c>
      <x:c r="I46" s="18" t="str">
        <x:v>出餐小锅</x:v>
      </x:c>
      <x:c r="J46" s="18" t="str">
        <x:v>海鲜和蔬菜汇合</x:v>
      </x:c>
      <x:c r="K46" s="18" t="str">
        <x:v>蘑菇、白身鱼肉、虾仁、清汤底</x:v>
      </x:c>
      <x:c r="L46" s="18" t="str">
        <x:v>https://www.team17.com/news/overcooked-2-faq</x:v>
      </x:c>
      <x:c r="M46" s="28" t="str">
        <x:v>建议稿｜未逐项批准</x:v>
      </x:c>
    </x:row>
    <x:row r="47" ht="100" customHeight="1">
      <x:c r="A47" s="18" t="str">
        <x:v>F43</x:v>
      </x:c>
      <x:c r="B47" s="18" t="str">
        <x:v>正餐</x:v>
      </x:c>
      <x:c r="C47" s="18" t="str">
        <x:v>早餐</x:v>
      </x:c>
      <x:c r="D47" s="18" t="str">
        <x:v>香肠鸡蛋早餐</x:v>
      </x:c>
      <x:c r="E47" s="18" t="str">
        <x:v>熟香肠×1 + 煎蛋×1 + 烤吐司×1</x:v>
      </x:c>
      <x:c r="F47" s="18" t="str">
        <x:v>香肠、鸡蛋、吐司分别完成→同盘组合</x:v>
      </x:c>
      <x:c r="G47" s="18" t="str">
        <x:v>组装台、煎台、烤箱</x:v>
      </x:c>
      <x:c r="H47" s="18" t="str">
        <x:v>三组件早餐</x:v>
      </x:c>
      <x:c r="I47" s="18" t="str">
        <x:v>餐盘</x:v>
      </x:c>
      <x:c r="J47" s="18" t="str">
        <x:v>煎台与烤箱并行</x:v>
      </x:c>
      <x:c r="K47" s="18" t="str">
        <x:v>生香肠、鸡蛋、吐司片</x:v>
      </x:c>
      <x:c r="L47" s="18" t="str">
        <x:v>https://www.team17.com/news/overcooked-2-campfire-cook-off-dlc-season-pass-available-now</x:v>
      </x:c>
      <x:c r="M47" s="28" t="str">
        <x:v>建议稿｜未逐项批准</x:v>
      </x:c>
    </x:row>
    <x:row r="48" ht="100" customHeight="1">
      <x:c r="A48" s="18" t="str">
        <x:v>F44</x:v>
      </x:c>
      <x:c r="B48" s="18" t="str">
        <x:v>正餐</x:v>
      </x:c>
      <x:c r="C48" s="18" t="str">
        <x:v>早餐</x:v>
      </x:c>
      <x:c r="D48" s="18" t="str">
        <x:v>培根鸡蛋早餐</x:v>
      </x:c>
      <x:c r="E48" s="18" t="str">
        <x:v>煎培根×1 + 煎蛋×1 + 烤吐司×1 + 番茄块×1</x:v>
      </x:c>
      <x:c r="F48" s="18" t="str">
        <x:v>培根、鸡蛋、吐司完成→加番茄合盘</x:v>
      </x:c>
      <x:c r="G48" s="18" t="str">
        <x:v>切配台、组装台、煎台、烤箱</x:v>
      </x:c>
      <x:c r="H48" s="18" t="str">
        <x:v>四组件早餐</x:v>
      </x:c>
      <x:c r="I48" s="18" t="str">
        <x:v>餐盘</x:v>
      </x:c>
      <x:c r="J48" s="18" t="str">
        <x:v>共享煎蛋与吐司→最后合盘</x:v>
      </x:c>
      <x:c r="K48" s="18" t="str">
        <x:v>番茄、培根、鸡蛋、吐司片</x:v>
      </x:c>
      <x:c r="L48" s="18" t="str">
        <x:v>https://www.team17.com/news/overcooked-2-campfire-cook-off-dlc-season-pass-available-now</x:v>
      </x:c>
      <x:c r="M48" s="28" t="str">
        <x:v>建议稿｜未逐项批准</x:v>
      </x:c>
    </x:row>
    <x:row r="49" ht="100" customHeight="1">
      <x:c r="A49" s="18" t="str">
        <x:v>S01</x:v>
      </x:c>
      <x:c r="B49" s="18" t="str">
        <x:v>甜品</x:v>
      </x:c>
      <x:c r="C49" s="18" t="str">
        <x:v>松饼</x:v>
      </x:c>
      <x:c r="D49" s="18" t="str">
        <x:v>蜂蜜松饼</x:v>
      </x:c>
      <x:c r="E49" s="18" t="str">
        <x:v>甜面糊×1 + 蜂蜜×1</x:v>
      </x:c>
      <x:c r="F49" s="18" t="str">
        <x:v>甜面糊入煎台→煎成一份松饼→淋蜂蜜</x:v>
      </x:c>
      <x:c r="G49" s="18" t="str">
        <x:v>组装台、煎台、搅拌机</x:v>
      </x:c>
      <x:c r="H49" s="18" t="str">
        <x:v>蜂蜜松饼叠</x:v>
      </x:c>
      <x:c r="I49" s="18" t="str">
        <x:v>甜品盘</x:v>
      </x:c>
      <x:c r="J49" s="18" t="str">
        <x:v>制面糊→煎制→淋料</x:v>
      </x:c>
      <x:c r="K49" s="18" t="str">
        <x:v>鸡蛋、牛奶、甜点预拌粉、蜂蜜</x:v>
      </x:c>
      <x:c r="L49" s="18" t="str">
        <x:v>https://www.team17.com/news/the-a-z-of-overcooked-2</x:v>
      </x:c>
      <x:c r="M49" s="28" t="str">
        <x:v>建议稿｜未逐项批准</x:v>
      </x:c>
    </x:row>
    <x:row r="50" ht="100" customHeight="1">
      <x:c r="A50" s="18" t="str">
        <x:v>S02</x:v>
      </x:c>
      <x:c r="B50" s="18" t="str">
        <x:v>甜品</x:v>
      </x:c>
      <x:c r="C50" s="18" t="str">
        <x:v>松饼</x:v>
      </x:c>
      <x:c r="D50" s="18" t="str">
        <x:v>巧克力松饼</x:v>
      </x:c>
      <x:c r="E50" s="18" t="str">
        <x:v>甜面糊×1 + 巧克力酱×1</x:v>
      </x:c>
      <x:c r="F50" s="18" t="str">
        <x:v>甜面糊煎成松饼→淋巧克力酱</x:v>
      </x:c>
      <x:c r="G50" s="18" t="str">
        <x:v>组装台、煎台、搅拌机</x:v>
      </x:c>
      <x:c r="H50" s="18" t="str">
        <x:v>巧克力色表面</x:v>
      </x:c>
      <x:c r="I50" s="18" t="str">
        <x:v>甜品盘</x:v>
      </x:c>
      <x:c r="J50" s="18" t="str">
        <x:v>共享面糊→更换收尾</x:v>
      </x:c>
      <x:c r="K50" s="18" t="str">
        <x:v>鸡蛋、牛奶、甜点预拌粉、巧克力酱</x:v>
      </x:c>
      <x:c r="L50" s="18" t="str">
        <x:v>https://www.team17.com/news/the-a-z-of-overcooked-2</x:v>
      </x:c>
      <x:c r="M50" s="28" t="str">
        <x:v>建议稿｜未逐项批准</x:v>
      </x:c>
    </x:row>
    <x:row r="51" ht="100" customHeight="1">
      <x:c r="A51" s="18" t="str">
        <x:v>S03</x:v>
      </x:c>
      <x:c r="B51" s="18" t="str">
        <x:v>甜品</x:v>
      </x:c>
      <x:c r="C51" s="18" t="str">
        <x:v>松饼</x:v>
      </x:c>
      <x:c r="D51" s="18" t="str">
        <x:v>草莓奶油松饼</x:v>
      </x:c>
      <x:c r="E51" s="18" t="str">
        <x:v>甜面糊×1 + 草莓块×1 + 打发奶油×1</x:v>
      </x:c>
      <x:c r="F51" s="18" t="str">
        <x:v>煎松饼→加奶油→放草莓</x:v>
      </x:c>
      <x:c r="G51" s="18" t="str">
        <x:v>切配台、组装台、煎台、搅拌机</x:v>
      </x:c>
      <x:c r="H51" s="18" t="str">
        <x:v>奶油与鲜果松饼</x:v>
      </x:c>
      <x:c r="I51" s="18" t="str">
        <x:v>甜品盘</x:v>
      </x:c>
      <x:c r="J51" s="18" t="str">
        <x:v>煎制、切果、打奶油并行</x:v>
      </x:c>
      <x:c r="K51" s="18" t="str">
        <x:v>草莓、鸡蛋、牛奶、淡奶油、甜点预拌粉</x:v>
      </x:c>
      <x:c r="L51" s="18" t="str">
        <x:v>https://www.team17.com/news/the-a-z-of-overcooked-2</x:v>
      </x:c>
      <x:c r="M51" s="28" t="str">
        <x:v>建议稿｜未逐项批准</x:v>
      </x:c>
    </x:row>
    <x:row r="52" ht="100" customHeight="1">
      <x:c r="A52" s="18" t="str">
        <x:v>S04</x:v>
      </x:c>
      <x:c r="B52" s="18" t="str">
        <x:v>甜品</x:v>
      </x:c>
      <x:c r="C52" s="18" t="str">
        <x:v>蛋糕</x:v>
      </x:c>
      <x:c r="D52" s="18" t="str">
        <x:v>原味小蛋糕</x:v>
      </x:c>
      <x:c r="E52" s="18" t="str">
        <x:v>甜面糊×1</x:v>
      </x:c>
      <x:c r="F52" s="18" t="str">
        <x:v>甜面糊倒模→烤熟→脱模装盘</x:v>
      </x:c>
      <x:c r="G52" s="18" t="str">
        <x:v>烤箱、搅拌机</x:v>
      </x:c>
      <x:c r="H52" s="18" t="str">
        <x:v>单份小蛋糕</x:v>
      </x:c>
      <x:c r="I52" s="18" t="str">
        <x:v>甜品盘</x:v>
      </x:c>
      <x:c r="J52" s="18" t="str">
        <x:v>面糊→烘烤</x:v>
      </x:c>
      <x:c r="K52" s="18" t="str">
        <x:v>鸡蛋、牛奶、甜点预拌粉</x:v>
      </x:c>
      <x:c r="L52" s="18" t="str">
        <x:v>https://www.team17.com/news/the-a-z-of-overcooked-2</x:v>
      </x:c>
      <x:c r="M52" s="28" t="str">
        <x:v>建议稿｜未逐项批准</x:v>
      </x:c>
    </x:row>
    <x:row r="53" ht="100" customHeight="1">
      <x:c r="A53" s="18" t="str">
        <x:v>S05</x:v>
      </x:c>
      <x:c r="B53" s="18" t="str">
        <x:v>甜品</x:v>
      </x:c>
      <x:c r="C53" s="18" t="str">
        <x:v>蛋糕</x:v>
      </x:c>
      <x:c r="D53" s="18" t="str">
        <x:v>巧克力小蛋糕</x:v>
      </x:c>
      <x:c r="E53" s="18" t="str">
        <x:v>甜面糊×1 + 可可粉×1</x:v>
      </x:c>
      <x:c r="F53" s="18" t="str">
        <x:v>面糊+可可粉→混合→倒模烤制</x:v>
      </x:c>
      <x:c r="G53" s="18" t="str">
        <x:v>烤箱、搅拌机</x:v>
      </x:c>
      <x:c r="H53" s="18" t="str">
        <x:v>巧克力小蛋糕</x:v>
      </x:c>
      <x:c r="I53" s="18" t="str">
        <x:v>甜品盘</x:v>
      </x:c>
      <x:c r="J53" s="18" t="str">
        <x:v>基础面糊→口味分支→烘烤</x:v>
      </x:c>
      <x:c r="K53" s="18" t="str">
        <x:v>鸡蛋、牛奶、甜点预拌粉、可可粉</x:v>
      </x:c>
      <x:c r="L53" s="18" t="str">
        <x:v>https://www.team17.com/news/the-a-z-of-overcooked-2</x:v>
      </x:c>
      <x:c r="M53" s="28" t="str">
        <x:v>建议稿｜未逐项批准</x:v>
      </x:c>
    </x:row>
    <x:row r="54" ht="100" customHeight="1">
      <x:c r="A54" s="18" t="str">
        <x:v>S06</x:v>
      </x:c>
      <x:c r="B54" s="18" t="str">
        <x:v>甜品</x:v>
      </x:c>
      <x:c r="C54" s="18" t="str">
        <x:v>蛋糕</x:v>
      </x:c>
      <x:c r="D54" s="18" t="str">
        <x:v>胡萝卜蛋糕</x:v>
      </x:c>
      <x:c r="E54" s="18" t="str">
        <x:v>甜面糊×1 + 胡萝卜块×1</x:v>
      </x:c>
      <x:c r="F54" s="18" t="str">
        <x:v>面糊+胡萝卜块→混合→倒模烤制</x:v>
      </x:c>
      <x:c r="G54" s="18" t="str">
        <x:v>切配台、烤箱、搅拌机</x:v>
      </x:c>
      <x:c r="H54" s="18" t="str">
        <x:v>有胡萝卜特征的蛋糕</x:v>
      </x:c>
      <x:c r="I54" s="18" t="str">
        <x:v>甜品盘</x:v>
      </x:c>
      <x:c r="J54" s="18" t="str">
        <x:v>蔬菜备料和面糊汇合</x:v>
      </x:c>
      <x:c r="K54" s="18" t="str">
        <x:v>胡萝卜、鸡蛋、牛奶、甜点预拌粉</x:v>
      </x:c>
      <x:c r="L54" s="18" t="str">
        <x:v>https://www.team17.com/news/the-a-z-of-overcooked-2</x:v>
      </x:c>
      <x:c r="M54" s="28" t="str">
        <x:v>建议稿｜未逐项批准</x:v>
      </x:c>
    </x:row>
    <x:row r="55" ht="100" customHeight="1">
      <x:c r="A55" s="18" t="str">
        <x:v>S07</x:v>
      </x:c>
      <x:c r="B55" s="18" t="str">
        <x:v>甜品</x:v>
      </x:c>
      <x:c r="C55" s="18" t="str">
        <x:v>甜甜圈</x:v>
      </x:c>
      <x:c r="D55" s="18" t="str">
        <x:v>巧克力甜甜圈</x:v>
      </x:c>
      <x:c r="E55" s="18" t="str">
        <x:v>生甜甜圈坯×1 + 巧克力酱×1</x:v>
      </x:c>
      <x:c r="F55" s="18" t="str">
        <x:v>生圈坯→炸熟→淋巧克力酱</x:v>
      </x:c>
      <x:c r="G55" s="18" t="str">
        <x:v>组装台、炸锅</x:v>
      </x:c>
      <x:c r="H55" s="18" t="str">
        <x:v>巧克力圈</x:v>
      </x:c>
      <x:c r="I55" s="18" t="str">
        <x:v>甜品盘</x:v>
      </x:c>
      <x:c r="J55" s="18" t="str">
        <x:v>炸制→淋酱</x:v>
      </x:c>
      <x:c r="K55" s="18" t="str">
        <x:v>生甜甜圈坯、巧克力酱</x:v>
      </x:c>
      <x:c r="L55" s="18" t="str">
        <x:v>https://www.team17.com/news/overcooked-2-carnival-of-chaos-dlc-out-now</x:v>
      </x:c>
      <x:c r="M55" s="28" t="str">
        <x:v>建议稿｜未逐项批准</x:v>
      </x:c>
    </x:row>
    <x:row r="56" ht="100" customHeight="1">
      <x:c r="A56" s="18" t="str">
        <x:v>S08</x:v>
      </x:c>
      <x:c r="B56" s="18" t="str">
        <x:v>甜品</x:v>
      </x:c>
      <x:c r="C56" s="18" t="str">
        <x:v>甜甜圈</x:v>
      </x:c>
      <x:c r="D56" s="18" t="str">
        <x:v>草莓甜甜圈</x:v>
      </x:c>
      <x:c r="E56" s="18" t="str">
        <x:v>生甜甜圈坯×1 + 草莓酱×1</x:v>
      </x:c>
      <x:c r="F56" s="18" t="str">
        <x:v>生圈坯→炸熟→淋草莓酱</x:v>
      </x:c>
      <x:c r="G56" s="18" t="str">
        <x:v>组装台、炸锅</x:v>
      </x:c>
      <x:c r="H56" s="18" t="str">
        <x:v>粉红草莓圈</x:v>
      </x:c>
      <x:c r="I56" s="18" t="str">
        <x:v>甜品盘</x:v>
      </x:c>
      <x:c r="J56" s="18" t="str">
        <x:v>共享炸圈→口味收尾</x:v>
      </x:c>
      <x:c r="K56" s="18" t="str">
        <x:v>生甜甜圈坯、草莓酱</x:v>
      </x:c>
      <x:c r="L56" s="18" t="str">
        <x:v>https://www.team17.com/news/overcooked-2-carnival-of-chaos-dlc-out-now</x:v>
      </x:c>
      <x:c r="M56" s="28" t="str">
        <x:v>建议稿｜未逐项批准</x:v>
      </x:c>
    </x:row>
    <x:row r="57" ht="100" customHeight="1">
      <x:c r="A57" s="18" t="str">
        <x:v>S09</x:v>
      </x:c>
      <x:c r="B57" s="18" t="str">
        <x:v>甜品</x:v>
      </x:c>
      <x:c r="C57" s="18" t="str">
        <x:v>其他甜品</x:v>
      </x:c>
      <x:c r="D57" s="18" t="str">
        <x:v>鲜果拼盘</x:v>
      </x:c>
      <x:c r="E57" s="18" t="str">
        <x:v>苹果块×1 + 香蕉块×1 + 草莓块×1</x:v>
      </x:c>
      <x:c r="F57" s="18" t="str">
        <x:v>三种切配水果→装盘</x:v>
      </x:c>
      <x:c r="G57" s="18" t="str">
        <x:v>切配台、组装台</x:v>
      </x:c>
      <x:c r="H57" s="18" t="str">
        <x:v>三色果盘</x:v>
      </x:c>
      <x:c r="I57" s="18" t="str">
        <x:v>甜品盘</x:v>
      </x:c>
      <x:c r="J57" s="18" t="str">
        <x:v>多人切果→汇合</x:v>
      </x:c>
      <x:c r="K57" s="18" t="str">
        <x:v>苹果、香蕉、草莓</x:v>
      </x:c>
      <x:c r="L57" s="18" t="str">
        <x:v>https://www.team17.com/news/overcooked-2-faq</x:v>
      </x:c>
      <x:c r="M57" s="28" t="str">
        <x:v>建议稿｜未逐项批准</x:v>
      </x:c>
    </x:row>
    <x:row r="58" ht="100" customHeight="1">
      <x:c r="A58" s="18" t="str">
        <x:v>S10</x:v>
      </x:c>
      <x:c r="B58" s="18" t="str">
        <x:v>甜品</x:v>
      </x:c>
      <x:c r="C58" s="18" t="str">
        <x:v>其他甜品</x:v>
      </x:c>
      <x:c r="D58" s="18" t="str">
        <x:v>苹果派</x:v>
      </x:c>
      <x:c r="E58" s="18" t="str">
        <x:v>派皮×1 + 苹果派馅×1</x:v>
      </x:c>
      <x:c r="F58" s="18" t="str">
        <x:v>派皮+苹果馅→一次合拢成派→烤熟</x:v>
      </x:c>
      <x:c r="G58" s="18" t="str">
        <x:v>切配台、组装台、煎台、烤箱</x:v>
      </x:c>
      <x:c r="H58" s="18" t="str">
        <x:v>单份苹果派</x:v>
      </x:c>
      <x:c r="I58" s="18" t="str">
        <x:v>甜品盘</x:v>
      </x:c>
      <x:c r="J58" s="18" t="str">
        <x:v>制馅→组派→烤制</x:v>
      </x:c>
      <x:c r="K58" s="18" t="str">
        <x:v>苹果、派皮、蜂蜜</x:v>
      </x:c>
      <x:c r="L58" s="18" t="str">
        <x:v>https://www.team17.com/news/overcooked-2-introducing-night-of-the-hangry-horde</x:v>
      </x:c>
      <x:c r="M58" s="28" t="str">
        <x:v>建议稿｜未逐项批准</x:v>
      </x:c>
    </x:row>
    <x:row r="59" ht="100" customHeight="1">
      <x:c r="A59" s="18" t="str">
        <x:v>S11</x:v>
      </x:c>
      <x:c r="B59" s="18" t="str">
        <x:v>甜品</x:v>
      </x:c>
      <x:c r="C59" s="18" t="str">
        <x:v>其他甜品</x:v>
      </x:c>
      <x:c r="D59" s="18" t="str">
        <x:v>烤棉花糖巧克力夹心饼</x:v>
      </x:c>
      <x:c r="E59" s="18" t="str">
        <x:v>棉花糖×1 + 巧克力块×1 + 饼干片×2</x:v>
      </x:c>
      <x:c r="F59" s="18" t="str">
        <x:v>棉花糖烤软→夹入巧克力与两片饼干</x:v>
      </x:c>
      <x:c r="G59" s="18" t="str">
        <x:v>组装台、烤架</x:v>
      </x:c>
      <x:c r="H59" s="18" t="str">
        <x:v>可见棉花糖夹心</x:v>
      </x:c>
      <x:c r="I59" s="18" t="str">
        <x:v>甜品盘</x:v>
      </x:c>
      <x:c r="J59" s="18" t="str">
        <x:v>烤制→冷组件组装</x:v>
      </x:c>
      <x:c r="K59" s="18" t="str">
        <x:v>饼干片、棉花糖、巧克力块</x:v>
      </x:c>
      <x:c r="L59" s="18" t="str">
        <x:v>https://www.team17.com/news/overcooked-2-campfire-cook-off-dlc-season-pass-available-now</x:v>
      </x:c>
      <x:c r="M59" s="28" t="str">
        <x:v>建议稿｜未逐项批准</x:v>
      </x:c>
    </x:row>
    <x:row r="60" ht="100" customHeight="1">
      <x:c r="A60" s="18" t="str">
        <x:v>S12</x:v>
      </x:c>
      <x:c r="B60" s="18" t="str">
        <x:v>甜品</x:v>
      </x:c>
      <x:c r="C60" s="18" t="str">
        <x:v>其他甜品</x:v>
      </x:c>
      <x:c r="D60" s="18" t="str">
        <x:v>水果香草圣代</x:v>
      </x:c>
      <x:c r="E60" s="18" t="str">
        <x:v>香草冰淇淋×1 + 草莓块×1 + 香蕉块×1 + 巧克力酱×1</x:v>
      </x:c>
      <x:c r="F60" s="18" t="str">
        <x:v>杯中取一份冰淇淋→加水果→淋酱</x:v>
      </x:c>
      <x:c r="G60" s="18" t="str">
        <x:v>切配台、组装台</x:v>
      </x:c>
      <x:c r="H60" s="18" t="str">
        <x:v>水果冰淇淋杯</x:v>
      </x:c>
      <x:c r="I60" s="18" t="str">
        <x:v>甜品杯</x:v>
      </x:c>
      <x:c r="J60" s="18" t="str">
        <x:v>供成品冰淇淋→切果装配</x:v>
      </x:c>
      <x:c r="K60" s="18" t="str">
        <x:v>香蕉、草莓、香草冰淇淋、巧克力酱</x:v>
      </x:c>
      <x:c r="L60" s="18" t="str">
        <x:v>https://www.team17.com/news/the-a-z-of-overcooked-2
https://store.steampowered.com/app/2336220/Feed_the_Cups/?l=english</x:v>
      </x:c>
      <x:c r="M60" s="28" t="str">
        <x:v>建议稿｜未逐项批准</x:v>
      </x:c>
    </x:row>
    <x:row r="61" ht="100" customHeight="1">
      <x:c r="A61" s="18" t="str">
        <x:v>D01</x:v>
      </x:c>
      <x:c r="B61" s="18" t="str">
        <x:v>饮品</x:v>
      </x:c>
      <x:c r="C61" s="18" t="str">
        <x:v>汽水</x:v>
      </x:c>
      <x:c r="D61" s="18" t="str">
        <x:v>冰可乐</x:v>
      </x:c>
      <x:c r="E61" s="18" t="str">
        <x:v>可乐液×1 + 冰块×1</x:v>
      </x:c>
      <x:c r="F61" s="18" t="str">
        <x:v>杯中加冰→接可乐</x:v>
      </x:c>
      <x:c r="G61" s="18" t="str">
        <x:v>调饮台、汽水机</x:v>
      </x:c>
      <x:c r="H61" s="18" t="str">
        <x:v>棕色气泡饮</x:v>
      </x:c>
      <x:c r="I61" s="18" t="str">
        <x:v>透明冷饮杯</x:v>
      </x:c>
      <x:c r="J61" s="18" t="str">
        <x:v>取杯接饮料→贴单</x:v>
      </x:c>
      <x:c r="K61" s="18" t="str">
        <x:v>冰块、可乐原液</x:v>
      </x:c>
      <x:c r="L61" s="18" t="str">
        <x:v>https://www.team17.com/news/overcooked-2-carnival-of-chaos-dlc-out-now</x:v>
      </x:c>
      <x:c r="M61" s="28" t="str">
        <x:v>建议稿｜未逐项批准</x:v>
      </x:c>
    </x:row>
    <x:row r="62" ht="100" customHeight="1">
      <x:c r="A62" s="18" t="str">
        <x:v>D02</x:v>
      </x:c>
      <x:c r="B62" s="18" t="str">
        <x:v>饮品</x:v>
      </x:c>
      <x:c r="C62" s="18" t="str">
        <x:v>汽水</x:v>
      </x:c>
      <x:c r="D62" s="18" t="str">
        <x:v>柠檬苏打</x:v>
      </x:c>
      <x:c r="E62" s="18" t="str">
        <x:v>苏打水×1 + 柠檬汁×1 + 糖浆×1 + 冰块×1</x:v>
      </x:c>
      <x:c r="F62" s="18" t="str">
        <x:v>柠檬汁+糖浆→混合→加冰→最后加苏打水</x:v>
      </x:c>
      <x:c r="G62" s="18" t="str">
        <x:v>切配台、榨汁机、调饮台、汽水机</x:v>
      </x:c>
      <x:c r="H62" s="18" t="str">
        <x:v>浅色柠檬汽水</x:v>
      </x:c>
      <x:c r="I62" s="18" t="str">
        <x:v>透明冷饮杯</x:v>
      </x:c>
      <x:c r="J62" s="18" t="str">
        <x:v>榨汁→调饮→贴单</x:v>
      </x:c>
      <x:c r="K62" s="18" t="str">
        <x:v>柠檬、糖浆、冰块、苏打水原液</x:v>
      </x:c>
      <x:c r="L62" s="18" t="str">
        <x:v>https://store.steampowered.com/app/2336220/Feed_the_Cups/?l=english
https://steamcommunity.com/sharedfiles/filedetails/?id=3392057656</x:v>
      </x:c>
      <x:c r="M62" s="28" t="str">
        <x:v>建议稿｜未逐项批准</x:v>
      </x:c>
    </x:row>
    <x:row r="63" ht="100" customHeight="1">
      <x:c r="A63" s="18" t="str">
        <x:v>D03</x:v>
      </x:c>
      <x:c r="B63" s="18" t="str">
        <x:v>饮品</x:v>
      </x:c>
      <x:c r="C63" s="18" t="str">
        <x:v>汽水</x:v>
      </x:c>
      <x:c r="D63" s="18" t="str">
        <x:v>橙味苏打</x:v>
      </x:c>
      <x:c r="E63" s="18" t="str">
        <x:v>苏打水×1 + 橙汁×1 + 冰块×1</x:v>
      </x:c>
      <x:c r="F63" s="18" t="str">
        <x:v>橙汁入杯→加冰→最后加苏打水</x:v>
      </x:c>
      <x:c r="G63" s="18" t="str">
        <x:v>切配台、榨汁机、调饮台、汽水机</x:v>
      </x:c>
      <x:c r="H63" s="18" t="str">
        <x:v>橙色气泡饮</x:v>
      </x:c>
      <x:c r="I63" s="18" t="str">
        <x:v>透明冷饮杯</x:v>
      </x:c>
      <x:c r="J63" s="18" t="str">
        <x:v>共享橙汁→汽水收尾</x:v>
      </x:c>
      <x:c r="K63" s="18" t="str">
        <x:v>橙子、冰块、苏打水原液</x:v>
      </x:c>
      <x:c r="L63" s="18" t="str">
        <x:v>https://store.steampowered.com/app/2336220/Feed_the_Cups/?l=english
https://steamcommunity.com/sharedfiles/filedetails/?id=3392057656</x:v>
      </x:c>
      <x:c r="M63" s="28" t="str">
        <x:v>建议稿｜未逐项批准</x:v>
      </x:c>
    </x:row>
    <x:row r="64" ht="100" customHeight="1">
      <x:c r="A64" s="18" t="str">
        <x:v>D04</x:v>
      </x:c>
      <x:c r="B64" s="18" t="str">
        <x:v>饮品</x:v>
      </x:c>
      <x:c r="C64" s="18" t="str">
        <x:v>鲜榨果汁</x:v>
      </x:c>
      <x:c r="D64" s="18" t="str">
        <x:v>鲜榨橙汁</x:v>
      </x:c>
      <x:c r="E64" s="18" t="str">
        <x:v>橙汁×1</x:v>
      </x:c>
      <x:c r="F64" s="18" t="str">
        <x:v>将鲜榨橙汁分装入杯</x:v>
      </x:c>
      <x:c r="G64" s="18" t="str">
        <x:v>切配台、榨汁机、调饮台</x:v>
      </x:c>
      <x:c r="H64" s="18" t="str">
        <x:v>橙色果汁</x:v>
      </x:c>
      <x:c r="I64" s="18" t="str">
        <x:v>透明冷饮杯</x:v>
      </x:c>
      <x:c r="J64" s="18" t="str">
        <x:v>切果榨汁→分装贴单</x:v>
      </x:c>
      <x:c r="K64" s="18" t="str">
        <x:v>橙子</x:v>
      </x:c>
      <x:c r="L64" s="18" t="str">
        <x:v>https://store.steampowered.com/app/2336220/Feed_the_Cups/?l=english
https://steamcommunity.com/sharedfiles/filedetails/?id=3392057656</x:v>
      </x:c>
      <x:c r="M64" s="28" t="str">
        <x:v>建议稿｜未逐项批准</x:v>
      </x:c>
    </x:row>
    <x:row r="65" ht="100" customHeight="1">
      <x:c r="A65" s="18" t="str">
        <x:v>D05</x:v>
      </x:c>
      <x:c r="B65" s="18" t="str">
        <x:v>饮品</x:v>
      </x:c>
      <x:c r="C65" s="18" t="str">
        <x:v>鲜榨果汁</x:v>
      </x:c>
      <x:c r="D65" s="18" t="str">
        <x:v>蜂蜜柠檬水</x:v>
      </x:c>
      <x:c r="E65" s="18" t="str">
        <x:v>柠檬汁×1 + 蜂蜜×1 + 饮用水×2 + 冰块×1</x:v>
      </x:c>
      <x:c r="F65" s="18" t="str">
        <x:v>柠檬汁+蜂蜜+水→混合→加冰</x:v>
      </x:c>
      <x:c r="G65" s="18" t="str">
        <x:v>切配台、榨汁机、调饮台</x:v>
      </x:c>
      <x:c r="H65" s="18" t="str">
        <x:v>浅黄色冰饮</x:v>
      </x:c>
      <x:c r="I65" s="18" t="str">
        <x:v>透明冷饮杯</x:v>
      </x:c>
      <x:c r="J65" s="18" t="str">
        <x:v>榨柠檬→混合</x:v>
      </x:c>
      <x:c r="K65" s="18" t="str">
        <x:v>柠檬、蜂蜜、饮用水、冰块</x:v>
      </x:c>
      <x:c r="L65" s="18" t="str">
        <x:v>https://store.steampowered.com/app/2336220/Feed_the_Cups/?l=english
https://steamcommunity.com/sharedfiles/filedetails/?id=3392057656</x:v>
      </x:c>
      <x:c r="M65" s="28" t="str">
        <x:v>建议稿｜未逐项批准</x:v>
      </x:c>
    </x:row>
    <x:row r="66" ht="100" customHeight="1">
      <x:c r="A66" s="18" t="str">
        <x:v>D06</x:v>
      </x:c>
      <x:c r="B66" s="18" t="str">
        <x:v>饮品</x:v>
      </x:c>
      <x:c r="C66" s="18" t="str">
        <x:v>鲜榨果汁</x:v>
      </x:c>
      <x:c r="D66" s="18" t="str">
        <x:v>橙柠双果汁</x:v>
      </x:c>
      <x:c r="E66" s="18" t="str">
        <x:v>橙汁×1 + 柠檬汁×1 + 冰块×1</x:v>
      </x:c>
      <x:c r="F66" s="18" t="str">
        <x:v>橙汁+柠檬汁→混合→加冰</x:v>
      </x:c>
      <x:c r="G66" s="18" t="str">
        <x:v>切配台、榨汁机、调饮台</x:v>
      </x:c>
      <x:c r="H66" s="18" t="str">
        <x:v>橙柠混合汁</x:v>
      </x:c>
      <x:c r="I66" s="18" t="str">
        <x:v>透明冷饮杯</x:v>
      </x:c>
      <x:c r="J66" s="18" t="str">
        <x:v>两路果汁→调制</x:v>
      </x:c>
      <x:c r="K66" s="18" t="str">
        <x:v>橙子、柠檬、冰块</x:v>
      </x:c>
      <x:c r="L66" s="18" t="str">
        <x:v>https://store.steampowered.com/app/2336220/Feed_the_Cups/?l=english
https://steamcommunity.com/sharedfiles/filedetails/?id=3392057656</x:v>
      </x:c>
      <x:c r="M66" s="28" t="str">
        <x:v>建议稿｜未逐项批准</x:v>
      </x:c>
    </x:row>
    <x:row r="67" ht="100" customHeight="1">
      <x:c r="A67" s="18" t="str">
        <x:v>D07</x:v>
      </x:c>
      <x:c r="B67" s="18" t="str">
        <x:v>饮品</x:v>
      </x:c>
      <x:c r="C67" s="18" t="str">
        <x:v>鲜榨果汁</x:v>
      </x:c>
      <x:c r="D67" s="18" t="str">
        <x:v>胡萝卜苹果汁</x:v>
      </x:c>
      <x:c r="E67" s="18" t="str">
        <x:v>胡萝卜汁×1 + 苹果汁×1</x:v>
      </x:c>
      <x:c r="F67" s="18" t="str">
        <x:v>胡萝卜汁+苹果汁→混合→装杯</x:v>
      </x:c>
      <x:c r="G67" s="18" t="str">
        <x:v>切配台、榨汁机、调饮台</x:v>
      </x:c>
      <x:c r="H67" s="18" t="str">
        <x:v>橙黄色果蔬汁</x:v>
      </x:c>
      <x:c r="I67" s="18" t="str">
        <x:v>透明冷饮杯</x:v>
      </x:c>
      <x:c r="J67" s="18" t="str">
        <x:v>蔬果榨汁→汇合</x:v>
      </x:c>
      <x:c r="K67" s="18" t="str">
        <x:v>胡萝卜、苹果</x:v>
      </x:c>
      <x:c r="L67" s="18" t="str">
        <x:v>https://store.steampowered.com/app/2336220/Feed_the_Cups/?l=english
https://steamcommunity.com/sharedfiles/filedetails/?id=3392057656</x:v>
      </x:c>
      <x:c r="M67" s="28" t="str">
        <x:v>建议稿｜未逐项批准</x:v>
      </x:c>
    </x:row>
    <x:row r="68" ht="100" customHeight="1">
      <x:c r="A68" s="18" t="str">
        <x:v>D08</x:v>
      </x:c>
      <x:c r="B68" s="18" t="str">
        <x:v>饮品</x:v>
      </x:c>
      <x:c r="C68" s="18" t="str">
        <x:v>奶昔与冰沙</x:v>
      </x:c>
      <x:c r="D68" s="18" t="str">
        <x:v>香蕉奶昔</x:v>
      </x:c>
      <x:c r="E68" s="18" t="str">
        <x:v>香蕉块×1 + 牛奶×1 + 香草冰淇淋×1</x:v>
      </x:c>
      <x:c r="F68" s="18" t="str">
        <x:v>香蕉+牛奶+冰淇淋→搅打→倒杯</x:v>
      </x:c>
      <x:c r="G68" s="18" t="str">
        <x:v>切配台、搅打机</x:v>
      </x:c>
      <x:c r="H68" s="18" t="str">
        <x:v>浅黄色浓稠奶昔</x:v>
      </x:c>
      <x:c r="I68" s="18" t="str">
        <x:v>透明冷饮杯</x:v>
      </x:c>
      <x:c r="J68" s="18" t="str">
        <x:v>切果→搅打→分装</x:v>
      </x:c>
      <x:c r="K68" s="18" t="str">
        <x:v>香蕉、牛奶、香草冰淇淋</x:v>
      </x:c>
      <x:c r="L68" s="18" t="str">
        <x:v>https://www.team17.com/news/the-a-z-of-overcooked-2
https://store.steampowered.com/app/2336220/Feed_the_Cups/?l=english</x:v>
      </x:c>
      <x:c r="M68" s="28" t="str">
        <x:v>建议稿｜未逐项批准</x:v>
      </x:c>
    </x:row>
    <x:row r="69" ht="100" customHeight="1">
      <x:c r="A69" s="18" t="str">
        <x:v>D09</x:v>
      </x:c>
      <x:c r="B69" s="18" t="str">
        <x:v>饮品</x:v>
      </x:c>
      <x:c r="C69" s="18" t="str">
        <x:v>奶昔与冰沙</x:v>
      </x:c>
      <x:c r="D69" s="18" t="str">
        <x:v>草莓奶昔</x:v>
      </x:c>
      <x:c r="E69" s="18" t="str">
        <x:v>草莓块×1 + 牛奶×1 + 香草冰淇淋×1</x:v>
      </x:c>
      <x:c r="F69" s="18" t="str">
        <x:v>草莓+牛奶+冰淇淋→搅打→倒杯</x:v>
      </x:c>
      <x:c r="G69" s="18" t="str">
        <x:v>切配台、搅打机</x:v>
      </x:c>
      <x:c r="H69" s="18" t="str">
        <x:v>粉红奶昔</x:v>
      </x:c>
      <x:c r="I69" s="18" t="str">
        <x:v>透明冷饮杯</x:v>
      </x:c>
      <x:c r="J69" s="18" t="str">
        <x:v>共享奶昔基料→换水果</x:v>
      </x:c>
      <x:c r="K69" s="18" t="str">
        <x:v>草莓、牛奶、香草冰淇淋</x:v>
      </x:c>
      <x:c r="L69" s="18" t="str">
        <x:v>https://www.team17.com/news/the-a-z-of-overcooked-2
https://store.steampowered.com/app/2336220/Feed_the_Cups/?l=english</x:v>
      </x:c>
      <x:c r="M69" s="28" t="str">
        <x:v>建议稿｜未逐项批准</x:v>
      </x:c>
    </x:row>
    <x:row r="70" ht="100" customHeight="1">
      <x:c r="A70" s="18" t="str">
        <x:v>D10</x:v>
      </x:c>
      <x:c r="B70" s="18" t="str">
        <x:v>饮品</x:v>
      </x:c>
      <x:c r="C70" s="18" t="str">
        <x:v>奶昔与冰沙</x:v>
      </x:c>
      <x:c r="D70" s="18" t="str">
        <x:v>芒果冰沙</x:v>
      </x:c>
      <x:c r="E70" s="18" t="str">
        <x:v>芒果块×1 + 冰块×1 + 糖浆×1</x:v>
      </x:c>
      <x:c r="F70" s="18" t="str">
        <x:v>芒果+冰+糖浆→搅打→倒杯</x:v>
      </x:c>
      <x:c r="G70" s="18" t="str">
        <x:v>切配台、搅打机</x:v>
      </x:c>
      <x:c r="H70" s="18" t="str">
        <x:v>黄色冰沙</x:v>
      </x:c>
      <x:c r="I70" s="18" t="str">
        <x:v>透明冷饮杯</x:v>
      </x:c>
      <x:c r="J70" s="18" t="str">
        <x:v>切果→打冰沙</x:v>
      </x:c>
      <x:c r="K70" s="18" t="str">
        <x:v>芒果、糖浆、冰块</x:v>
      </x:c>
      <x:c r="L70" s="18" t="str">
        <x:v>https://www.team17.com/news/the-a-z-of-overcooked-2
https://store.steampowered.com/app/2336220/Feed_the_Cups/?l=english</x:v>
      </x:c>
      <x:c r="M70" s="28" t="str">
        <x:v>建议稿｜未逐项批准</x:v>
      </x:c>
    </x:row>
    <x:row r="71" ht="100" customHeight="1">
      <x:c r="A71" s="18" t="str">
        <x:v>D11</x:v>
      </x:c>
      <x:c r="B71" s="18" t="str">
        <x:v>饮品</x:v>
      </x:c>
      <x:c r="C71" s="18" t="str">
        <x:v>奶昔与冰沙</x:v>
      </x:c>
      <x:c r="D71" s="18" t="str">
        <x:v>草莓酸奶冰沙</x:v>
      </x:c>
      <x:c r="E71" s="18" t="str">
        <x:v>草莓块×1 + 酸奶×1 + 冰块×1</x:v>
      </x:c>
      <x:c r="F71" s="18" t="str">
        <x:v>草莓+酸奶+冰→搅打→倒杯</x:v>
      </x:c>
      <x:c r="G71" s="18" t="str">
        <x:v>切配台、搅打机</x:v>
      </x:c>
      <x:c r="H71" s="18" t="str">
        <x:v>粉白酸奶冰沙</x:v>
      </x:c>
      <x:c r="I71" s="18" t="str">
        <x:v>透明冷饮杯</x:v>
      </x:c>
      <x:c r="J71" s="18" t="str">
        <x:v>共享草莓→酸奶路线</x:v>
      </x:c>
      <x:c r="K71" s="18" t="str">
        <x:v>草莓、酸奶、冰块</x:v>
      </x:c>
      <x:c r="L71" s="18" t="str">
        <x:v>https://www.team17.com/news/the-a-z-of-overcooked-2
https://steamcommunity.com/sharedfiles/filedetails/?id=3392057656</x:v>
      </x:c>
      <x:c r="M71" s="28" t="str">
        <x:v>建议稿｜未逐项批准</x:v>
      </x:c>
    </x:row>
    <x:row r="72" ht="100" customHeight="1">
      <x:c r="A72" s="18" t="str">
        <x:v>D12</x:v>
      </x:c>
      <x:c r="B72" s="18" t="str">
        <x:v>饮品</x:v>
      </x:c>
      <x:c r="C72" s="18" t="str">
        <x:v>冲调饮品</x:v>
      </x:c>
      <x:c r="D72" s="18" t="str">
        <x:v>热冲调奶茶</x:v>
      </x:c>
      <x:c r="E72" s="18" t="str">
        <x:v>速溶奶茶粉×1 + 热水×2</x:v>
      </x:c>
      <x:c r="F72" s="18" t="str">
        <x:v>奶茶粉+热水→混合→装杯</x:v>
      </x:c>
      <x:c r="G72" s="18" t="str">
        <x:v>调饮台、取水台</x:v>
      </x:c>
      <x:c r="H72" s="18" t="str">
        <x:v>热奶茶</x:v>
      </x:c>
      <x:c r="I72" s="18" t="str">
        <x:v>热饮杯</x:v>
      </x:c>
      <x:c r="J72" s="18" t="str">
        <x:v>粉料冲调→贴单</x:v>
      </x:c>
      <x:c r="K72" s="18" t="str">
        <x:v>速溶奶茶粉、饮用水</x:v>
      </x:c>
      <x:c r="L72" s="18" t="str">
        <x:v>https://store.steampowered.com/app/2336220/Feed_the_Cups/?l=english
https://steamcommunity.com/sharedfiles/filedetails/?id=3392057656</x:v>
      </x:c>
      <x:c r="M72" s="28" t="str">
        <x:v>建议稿｜未逐项批准</x:v>
      </x:c>
    </x:row>
    <x:row r="73" ht="100" customHeight="1">
      <x:c r="A73" s="18" t="str">
        <x:v>D13</x:v>
      </x:c>
      <x:c r="B73" s="18" t="str">
        <x:v>饮品</x:v>
      </x:c>
      <x:c r="C73" s="18" t="str">
        <x:v>冲调饮品</x:v>
      </x:c>
      <x:c r="D73" s="18" t="str">
        <x:v>热可可牛奶</x:v>
      </x:c>
      <x:c r="E73" s="18" t="str">
        <x:v>可可粉×1 + 热牛奶×2 + 糖浆×1</x:v>
      </x:c>
      <x:c r="F73" s="18" t="str">
        <x:v>可可粉+热牛奶+糖浆→混合→装杯</x:v>
      </x:c>
      <x:c r="G73" s="18" t="str">
        <x:v>调饮台、蒸汽机</x:v>
      </x:c>
      <x:c r="H73" s="18" t="str">
        <x:v>热可可</x:v>
      </x:c>
      <x:c r="I73" s="18" t="str">
        <x:v>热饮杯</x:v>
      </x:c>
      <x:c r="J73" s="18" t="str">
        <x:v>热奶与粉料汇合</x:v>
      </x:c>
      <x:c r="K73" s="18" t="str">
        <x:v>牛奶、糖浆、可可粉</x:v>
      </x:c>
      <x:c r="L73" s="18" t="str">
        <x:v>https://www.team17.com/news/overcooked-2-faq
https://store.steampowered.com/app/2336220/Feed_the_Cups/?l=english</x:v>
      </x:c>
      <x:c r="M73" s="28" t="str">
        <x:v>建议稿｜未逐项批准</x:v>
      </x:c>
    </x:row>
    <x:row r="74" ht="100" customHeight="1">
      <x:c r="A74" s="18" t="str">
        <x:v>D14</x:v>
      </x:c>
      <x:c r="B74" s="18" t="str">
        <x:v>饮品</x:v>
      </x:c>
      <x:c r="C74" s="18" t="str">
        <x:v>冲调饮品</x:v>
      </x:c>
      <x:c r="D74" s="18" t="str">
        <x:v>热抹茶拿铁</x:v>
      </x:c>
      <x:c r="E74" s="18" t="str">
        <x:v>抹茶粉×1 + 热水×1 + 热牛奶×2 + 糖浆×1</x:v>
      </x:c>
      <x:c r="F74" s="18" t="str">
        <x:v>抹茶粉+热水→混合→加入热奶和糖浆</x:v>
      </x:c>
      <x:c r="G74" s="18" t="str">
        <x:v>调饮台、蒸汽机、取水台</x:v>
      </x:c>
      <x:c r="H74" s="18" t="str">
        <x:v>绿色热乳饮</x:v>
      </x:c>
      <x:c r="I74" s="18" t="str">
        <x:v>热饮杯</x:v>
      </x:c>
      <x:c r="J74" s="18" t="str">
        <x:v>冲粉与热奶并行→汇合</x:v>
      </x:c>
      <x:c r="K74" s="18" t="str">
        <x:v>牛奶、糖浆、抹茶粉、饮用水</x:v>
      </x:c>
      <x:c r="L74" s="18" t="str">
        <x:v>https://store.steampowered.com/app/2336220/Feed_the_Cups/?l=english
https://steamcommunity.com/sharedfiles/filedetails/?id=3392057656</x:v>
      </x:c>
      <x:c r="M74" s="28" t="str">
        <x:v>建议稿｜未逐项批准</x:v>
      </x:c>
    </x:row>
    <x:row r="75" ht="100" customHeight="1">
      <x:c r="A75" s="18" t="str">
        <x:v>D15</x:v>
      </x:c>
      <x:c r="B75" s="18" t="str">
        <x:v>饮品</x:v>
      </x:c>
      <x:c r="C75" s="18" t="str">
        <x:v>咖啡</x:v>
      </x:c>
      <x:c r="D75" s="18" t="str">
        <x:v>浓缩咖啡</x:v>
      </x:c>
      <x:c r="E75" s="18" t="str">
        <x:v>浓缩咖啡液×1</x:v>
      </x:c>
      <x:c r="F75" s="18" t="str">
        <x:v>萃取液接入热饮杯</x:v>
      </x:c>
      <x:c r="G75" s="18" t="str">
        <x:v>调饮台、磨豆机、咖啡机</x:v>
      </x:c>
      <x:c r="H75" s="18" t="str">
        <x:v>一份浓缩</x:v>
      </x:c>
      <x:c r="I75" s="18" t="str">
        <x:v>热饮杯</x:v>
      </x:c>
      <x:c r="J75" s="18" t="str">
        <x:v>磨豆→萃取→贴单</x:v>
      </x:c>
      <x:c r="K75" s="18" t="str">
        <x:v>咖啡豆</x:v>
      </x:c>
      <x:c r="L75" s="18" t="str">
        <x:v>https://store.steampowered.com/app/2336220/Feed_the_Cups/?l=english
https://steamcommunity.com/sharedfiles/filedetails/?id=3392057656</x:v>
      </x:c>
      <x:c r="M75" s="28" t="str">
        <x:v>建议稿｜未逐项批准</x:v>
      </x:c>
    </x:row>
    <x:row r="76" ht="100" customHeight="1">
      <x:c r="A76" s="18" t="str">
        <x:v>D16</x:v>
      </x:c>
      <x:c r="B76" s="18" t="str">
        <x:v>饮品</x:v>
      </x:c>
      <x:c r="C76" s="18" t="str">
        <x:v>咖啡</x:v>
      </x:c>
      <x:c r="D76" s="18" t="str">
        <x:v>热美式</x:v>
      </x:c>
      <x:c r="E76" s="18" t="str">
        <x:v>浓缩咖啡液×1 + 热水×2</x:v>
      </x:c>
      <x:c r="F76" s="18" t="str">
        <x:v>浓缩+热水→混合</x:v>
      </x:c>
      <x:c r="G76" s="18" t="str">
        <x:v>调饮台、磨豆机、咖啡机、取水台</x:v>
      </x:c>
      <x:c r="H76" s="18" t="str">
        <x:v>深色美式</x:v>
      </x:c>
      <x:c r="I76" s="18" t="str">
        <x:v>热饮杯</x:v>
      </x:c>
      <x:c r="J76" s="18" t="str">
        <x:v>萃取→加水</x:v>
      </x:c>
      <x:c r="K76" s="18" t="str">
        <x:v>咖啡豆、饮用水</x:v>
      </x:c>
      <x:c r="L76" s="18" t="str">
        <x:v>https://store.steampowered.com/app/2336220/Feed_the_Cups/?l=english
https://steamcommunity.com/sharedfiles/filedetails/?id=3392057656</x:v>
      </x:c>
      <x:c r="M76" s="28" t="str">
        <x:v>建议稿｜未逐项批准</x:v>
      </x:c>
    </x:row>
    <x:row r="77" ht="100" customHeight="1">
      <x:c r="A77" s="18" t="str">
        <x:v>D17</x:v>
      </x:c>
      <x:c r="B77" s="18" t="str">
        <x:v>饮品</x:v>
      </x:c>
      <x:c r="C77" s="18" t="str">
        <x:v>咖啡</x:v>
      </x:c>
      <x:c r="D77" s="18" t="str">
        <x:v>热拿铁</x:v>
      </x:c>
      <x:c r="E77" s="18" t="str">
        <x:v>浓缩咖啡液×1 + 热牛奶×2</x:v>
      </x:c>
      <x:c r="F77" s="18" t="str">
        <x:v>浓缩+热牛奶→混合；不拉花</x:v>
      </x:c>
      <x:c r="G77" s="18" t="str">
        <x:v>调饮台、磨豆机、咖啡机、蒸汽机</x:v>
      </x:c>
      <x:c r="H77" s="18" t="str">
        <x:v>浅棕色拿铁</x:v>
      </x:c>
      <x:c r="I77" s="18" t="str">
        <x:v>热饮杯</x:v>
      </x:c>
      <x:c r="J77" s="18" t="str">
        <x:v>萃取与热奶并行</x:v>
      </x:c>
      <x:c r="K77" s="18" t="str">
        <x:v>牛奶、咖啡豆</x:v>
      </x:c>
      <x:c r="L77" s="18" t="str">
        <x:v>https://store.steampowered.com/app/2336220/Feed_the_Cups/?l=english
https://steamcommunity.com/sharedfiles/filedetails/?id=3392057656</x:v>
      </x:c>
      <x:c r="M77" s="28" t="str">
        <x:v>建议稿｜未逐项批准</x:v>
      </x:c>
    </x:row>
    <x:row r="78" ht="100" customHeight="1">
      <x:c r="A78" s="18" t="str">
        <x:v>D18</x:v>
      </x:c>
      <x:c r="B78" s="18" t="str">
        <x:v>饮品</x:v>
      </x:c>
      <x:c r="C78" s="18" t="str">
        <x:v>咖啡</x:v>
      </x:c>
      <x:c r="D78" s="18" t="str">
        <x:v>卡布奇诺</x:v>
      </x:c>
      <x:c r="E78" s="18" t="str">
        <x:v>浓缩咖啡液×1 + 热牛奶×1 + 奶泡×1</x:v>
      </x:c>
      <x:c r="F78" s="18" t="str">
        <x:v>浓缩+热牛奶→最后加奶泡</x:v>
      </x:c>
      <x:c r="G78" s="18" t="str">
        <x:v>调饮台、磨豆机、咖啡机、蒸汽机</x:v>
      </x:c>
      <x:c r="H78" s="18" t="str">
        <x:v>有明显奶泡层</x:v>
      </x:c>
      <x:c r="I78" s="18" t="str">
        <x:v>热饮杯</x:v>
      </x:c>
      <x:c r="J78" s="18" t="str">
        <x:v>萃取→加奶→奶泡收尾</x:v>
      </x:c>
      <x:c r="K78" s="18" t="str">
        <x:v>牛奶、咖啡豆</x:v>
      </x:c>
      <x:c r="L78" s="18" t="str">
        <x:v>https://store.steampowered.com/app/2336220/Feed_the_Cups/?l=english
https://steamcommunity.com/sharedfiles/filedetails/?id=3392057656</x:v>
      </x:c>
      <x:c r="M78" s="28" t="str">
        <x:v>建议稿｜未逐项批准</x:v>
      </x:c>
    </x:row>
    <x:row r="79" ht="100" customHeight="1">
      <x:c r="A79" s="18" t="str">
        <x:v>D19</x:v>
      </x:c>
      <x:c r="B79" s="18" t="str">
        <x:v>饮品</x:v>
      </x:c>
      <x:c r="C79" s="18" t="str">
        <x:v>咖啡</x:v>
      </x:c>
      <x:c r="D79" s="18" t="str">
        <x:v>冰生椰拿铁</x:v>
      </x:c>
      <x:c r="E79" s="18" t="str">
        <x:v>浓缩咖啡液×1 + 椰奶×2 + 冰块×1</x:v>
      </x:c>
      <x:c r="F79" s="18" t="str">
        <x:v>杯中加冰和椰奶→最后倒入浓缩</x:v>
      </x:c>
      <x:c r="G79" s="18" t="str">
        <x:v>调饮台、磨豆机、咖啡机</x:v>
      </x:c>
      <x:c r="H79" s="18" t="str">
        <x:v>分层椰奶咖啡</x:v>
      </x:c>
      <x:c r="I79" s="18" t="str">
        <x:v>透明冷饮杯</x:v>
      </x:c>
      <x:c r="J79" s="18" t="str">
        <x:v>准备杯底→接萃取液</x:v>
      </x:c>
      <x:c r="K79" s="18" t="str">
        <x:v>椰奶、咖啡豆、冰块</x:v>
      </x:c>
      <x:c r="L79" s="18" t="str">
        <x:v>https://store.steampowered.com/app/2336220/Feed_the_Cups/?l=english
https://steamcommunity.com/sharedfiles/filedetails/?id=3392057656</x:v>
      </x:c>
      <x:c r="M79" s="28" t="str">
        <x:v>建议稿｜未逐项批准</x:v>
      </x:c>
    </x:row>
    <x:row r="80" ht="100" customHeight="1">
      <x:c r="A80" s="18" t="str">
        <x:v>D20</x:v>
      </x:c>
      <x:c r="B80" s="18" t="str">
        <x:v>饮品</x:v>
      </x:c>
      <x:c r="C80" s="18" t="str">
        <x:v>咖啡</x:v>
      </x:c>
      <x:c r="D80" s="18" t="str">
        <x:v>热摩卡</x:v>
      </x:c>
      <x:c r="E80" s="18" t="str">
        <x:v>浓缩咖啡液×1 + 热牛奶×2 + 巧克力酱×1 + 打发奶油×1</x:v>
      </x:c>
      <x:c r="F80" s="18" t="str">
        <x:v>浓缩+巧克力酱+热奶→混合→最后加奶油</x:v>
      </x:c>
      <x:c r="G80" s="18" t="str">
        <x:v>搅拌机、调饮台、磨豆机、咖啡机、蒸汽机</x:v>
      </x:c>
      <x:c r="H80" s="18" t="str">
        <x:v>巧克力咖啡与奶油顶</x:v>
      </x:c>
      <x:c r="I80" s="18" t="str">
        <x:v>热饮杯</x:v>
      </x:c>
      <x:c r="J80" s="18" t="str">
        <x:v>咖啡与奶油准备并行</x:v>
      </x:c>
      <x:c r="K80" s="18" t="str">
        <x:v>牛奶、淡奶油、巧克力酱、咖啡豆</x:v>
      </x:c>
      <x:c r="L80" s="18" t="str">
        <x:v>https://store.steampowered.com/app/2336220/Feed_the_Cups/?l=english
https://steamcommunity.com/sharedfiles/filedetails/?id=3392057656</x:v>
      </x:c>
      <x:c r="M80" s="28" t="str">
        <x:v>建议稿｜未逐项批准</x:v>
      </x:c>
    </x:row>
    <x:row r="81" ht="100" customHeight="1">
      <x:c r="A81" s="18" t="str">
        <x:v>D21</x:v>
      </x:c>
      <x:c r="B81" s="18" t="str">
        <x:v>饮品</x:v>
      </x:c>
      <x:c r="C81" s="18" t="str">
        <x:v>茶饮</x:v>
      </x:c>
      <x:c r="D81" s="18" t="str">
        <x:v>热红茶</x:v>
      </x:c>
      <x:c r="E81" s="18" t="str">
        <x:v>红茶底×1</x:v>
      </x:c>
      <x:c r="F81" s="18" t="str">
        <x:v>红茶底→分装热饮杯</x:v>
      </x:c>
      <x:c r="G81" s="18" t="str">
        <x:v>调饮台、泡茶桶、取水台</x:v>
      </x:c>
      <x:c r="H81" s="18" t="str">
        <x:v>红褐色茶汤</x:v>
      </x:c>
      <x:c r="I81" s="18" t="str">
        <x:v>热饮杯</x:v>
      </x:c>
      <x:c r="J81" s="18" t="str">
        <x:v>泡茶→分装</x:v>
      </x:c>
      <x:c r="K81" s="18" t="str">
        <x:v>红茶叶、饮用水</x:v>
      </x:c>
      <x:c r="L81" s="18" t="str">
        <x:v>https://store.steampowered.com/app/2336220/Feed_the_Cups/?l=english
https://steamcommunity.com/sharedfiles/filedetails/?id=3392057656</x:v>
      </x:c>
      <x:c r="M81" s="28" t="str">
        <x:v>建议稿｜未逐项批准</x:v>
      </x:c>
    </x:row>
    <x:row r="82" ht="100" customHeight="1">
      <x:c r="A82" s="18" t="str">
        <x:v>D22</x:v>
      </x:c>
      <x:c r="B82" s="18" t="str">
        <x:v>饮品</x:v>
      </x:c>
      <x:c r="C82" s="18" t="str">
        <x:v>茶饮</x:v>
      </x:c>
      <x:c r="D82" s="18" t="str">
        <x:v>热乌龙茶</x:v>
      </x:c>
      <x:c r="E82" s="18" t="str">
        <x:v>乌龙茶底×1</x:v>
      </x:c>
      <x:c r="F82" s="18" t="str">
        <x:v>乌龙茶底→分装热饮杯</x:v>
      </x:c>
      <x:c r="G82" s="18" t="str">
        <x:v>调饮台、泡茶桶、取水台</x:v>
      </x:c>
      <x:c r="H82" s="18" t="str">
        <x:v>乌龙茶汤</x:v>
      </x:c>
      <x:c r="I82" s="18" t="str">
        <x:v>热饮杯</x:v>
      </x:c>
      <x:c r="J82" s="18" t="str">
        <x:v>另一茶叶路线→分装</x:v>
      </x:c>
      <x:c r="K82" s="18" t="str">
        <x:v>乌龙茶叶、饮用水</x:v>
      </x:c>
      <x:c r="L82" s="18" t="str">
        <x:v>https://store.steampowered.com/app/2336220/Feed_the_Cups/?l=english
https://steamcommunity.com/sharedfiles/filedetails/?id=3392057656</x:v>
      </x:c>
      <x:c r="M82" s="28" t="str">
        <x:v>建议稿｜未逐项批准</x:v>
      </x:c>
    </x:row>
    <x:row r="83" ht="100" customHeight="1">
      <x:c r="A83" s="18" t="str">
        <x:v>D23</x:v>
      </x:c>
      <x:c r="B83" s="18" t="str">
        <x:v>饮品</x:v>
      </x:c>
      <x:c r="C83" s="18" t="str">
        <x:v>茶饮</x:v>
      </x:c>
      <x:c r="D83" s="18" t="str">
        <x:v>冰柠檬红茶</x:v>
      </x:c>
      <x:c r="E83" s="18" t="str">
        <x:v>红茶底×2 + 柠檬片×1 + 糖浆×1 + 冰块×1</x:v>
      </x:c>
      <x:c r="F83" s="18" t="str">
        <x:v>红茶+糖浆→混合→加入柠檬片和冰</x:v>
      </x:c>
      <x:c r="G83" s="18" t="str">
        <x:v>切配台、调饮台、泡茶桶、取水台</x:v>
      </x:c>
      <x:c r="H83" s="18" t="str">
        <x:v>有柠檬片的冰茶</x:v>
      </x:c>
      <x:c r="I83" s="18" t="str">
        <x:v>透明冷饮杯</x:v>
      </x:c>
      <x:c r="J83" s="18" t="str">
        <x:v>泡茶与切柠檬并行</x:v>
      </x:c>
      <x:c r="K83" s="18" t="str">
        <x:v>柠檬、糖浆、红茶叶、饮用水、冰块</x:v>
      </x:c>
      <x:c r="L83" s="18" t="str">
        <x:v>https://store.steampowered.com/app/2336220/Feed_the_Cups/?l=english
https://steamcommunity.com/sharedfiles/filedetails/?id=3392057656</x:v>
      </x:c>
      <x:c r="M83" s="28" t="str">
        <x:v>建议稿｜未逐项批准</x:v>
      </x:c>
    </x:row>
    <x:row r="84" ht="100" customHeight="1">
      <x:c r="A84" s="18" t="str">
        <x:v>D24</x:v>
      </x:c>
      <x:c r="B84" s="18" t="str">
        <x:v>饮品</x:v>
      </x:c>
      <x:c r="C84" s="18" t="str">
        <x:v>奶茶与小料</x:v>
      </x:c>
      <x:c r="D84" s="18" t="str">
        <x:v>冰鲜奶茶</x:v>
      </x:c>
      <x:c r="E84" s="18" t="str">
        <x:v>奶茶基底×1 + 冰块×1</x:v>
      </x:c>
      <x:c r="F84" s="18" t="str">
        <x:v>鲜奶茶基底→分装→加冰</x:v>
      </x:c>
      <x:c r="G84" s="18" t="str">
        <x:v>调饮台、泡茶桶、取水台</x:v>
      </x:c>
      <x:c r="H84" s="18" t="str">
        <x:v>冰奶茶</x:v>
      </x:c>
      <x:c r="I84" s="18" t="str">
        <x:v>透明冷饮杯</x:v>
      </x:c>
      <x:c r="J84" s="18" t="str">
        <x:v>制基底→分装</x:v>
      </x:c>
      <x:c r="K84" s="18" t="str">
        <x:v>牛奶、糖浆、红茶叶、饮用水、冰块</x:v>
      </x:c>
      <x:c r="L84" s="18" t="str">
        <x:v>https://store.steampowered.com/app/2336220/Feed_the_Cups/?l=english
https://steamcommunity.com/sharedfiles/filedetails/?id=3392057656</x:v>
      </x:c>
      <x:c r="M84" s="28" t="str">
        <x:v>建议稿｜未逐项批准</x:v>
      </x:c>
    </x:row>
    <x:row r="85" ht="100" customHeight="1">
      <x:c r="A85" s="18" t="str">
        <x:v>D25</x:v>
      </x:c>
      <x:c r="B85" s="18" t="str">
        <x:v>饮品</x:v>
      </x:c>
      <x:c r="C85" s="18" t="str">
        <x:v>奶茶与小料</x:v>
      </x:c>
      <x:c r="D85" s="18" t="str">
        <x:v>珍珠奶茶</x:v>
      </x:c>
      <x:c r="E85" s="18" t="str">
        <x:v>奶茶基底×1 + 熟珍珠×1 + 冰块×1</x:v>
      </x:c>
      <x:c r="F85" s="18" t="str">
        <x:v>杯中放熟珍珠→倒奶茶基底→加冰</x:v>
      </x:c>
      <x:c r="G85" s="18" t="str">
        <x:v>煮锅、调饮台、泡茶桶、取水台</x:v>
      </x:c>
      <x:c r="H85" s="18" t="str">
        <x:v>底部有珍珠的奶茶</x:v>
      </x:c>
      <x:c r="I85" s="18" t="str">
        <x:v>透明冷饮杯</x:v>
      </x:c>
      <x:c r="J85" s="18" t="str">
        <x:v>煮珍珠与泡茶并行→合杯</x:v>
      </x:c>
      <x:c r="K85" s="18" t="str">
        <x:v>牛奶、糖浆、红茶叶、生珍珠、饮用水、冰块</x:v>
      </x:c>
      <x:c r="L85" s="18" t="str">
        <x:v>https://store.steampowered.com/app/2336220/Feed_the_Cups/?l=english
https://steamcommunity.com/sharedfiles/filedetails/?id=3392057656</x:v>
      </x:c>
      <x:c r="M85" s="28" t="str">
        <x:v>建议稿｜未逐项批准</x:v>
      </x:c>
    </x:row>
    <x:row r="86" ht="100" customHeight="1">
      <x:c r="A86" s="18" t="str">
        <x:v>D26</x:v>
      </x:c>
      <x:c r="B86" s="18" t="str">
        <x:v>饮品</x:v>
      </x:c>
      <x:c r="C86" s="18" t="str">
        <x:v>奶茶与小料</x:v>
      </x:c>
      <x:c r="D86" s="18" t="str">
        <x:v>椰果奶茶</x:v>
      </x:c>
      <x:c r="E86" s="18" t="str">
        <x:v>奶茶基底×1 + 椰果×1 + 冰块×1</x:v>
      </x:c>
      <x:c r="F86" s="18" t="str">
        <x:v>杯中放椰果→倒奶茶基底→加冰</x:v>
      </x:c>
      <x:c r="G86" s="18" t="str">
        <x:v>调饮台、泡茶桶、取水台</x:v>
      </x:c>
      <x:c r="H86" s="18" t="str">
        <x:v>椰果奶茶</x:v>
      </x:c>
      <x:c r="I86" s="18" t="str">
        <x:v>透明冷饮杯</x:v>
      </x:c>
      <x:c r="J86" s="18" t="str">
        <x:v>直接取小料→共享基底</x:v>
      </x:c>
      <x:c r="K86" s="18" t="str">
        <x:v>牛奶、糖浆、红茶叶、椰果、饮用水、冰块</x:v>
      </x:c>
      <x:c r="L86" s="18" t="str">
        <x:v>https://store.steampowered.com/app/2336220/Feed_the_Cups/?l=english
https://steamcommunity.com/sharedfiles/filedetails/?id=3392057656</x:v>
      </x:c>
      <x:c r="M86" s="28" t="str">
        <x:v>建议稿｜未逐项批准</x:v>
      </x:c>
    </x:row>
    <x:row r="87" ht="100" customHeight="1">
      <x:c r="A87" s="18" t="str">
        <x:v>D27</x:v>
      </x:c>
      <x:c r="B87" s="18" t="str">
        <x:v>饮品</x:v>
      </x:c>
      <x:c r="C87" s="18" t="str">
        <x:v>奶茶与小料</x:v>
      </x:c>
      <x:c r="D87" s="18" t="str">
        <x:v>仙草奶茶</x:v>
      </x:c>
      <x:c r="E87" s="18" t="str">
        <x:v>奶茶基底×1 + 仙草冻×1 + 冰块×1</x:v>
      </x:c>
      <x:c r="F87" s="18" t="str">
        <x:v>杯中放仙草冻→倒奶茶基底→加冰</x:v>
      </x:c>
      <x:c r="G87" s="18" t="str">
        <x:v>调饮台、泡茶桶、取水台</x:v>
      </x:c>
      <x:c r="H87" s="18" t="str">
        <x:v>深色仙草块奶茶</x:v>
      </x:c>
      <x:c r="I87" s="18" t="str">
        <x:v>透明冷饮杯</x:v>
      </x:c>
      <x:c r="J87" s="18" t="str">
        <x:v>直接取小料→共享基底</x:v>
      </x:c>
      <x:c r="K87" s="18" t="str">
        <x:v>牛奶、糖浆、红茶叶、仙草冻、饮用水、冰块</x:v>
      </x:c>
      <x:c r="L87" s="18" t="str">
        <x:v>https://store.steampowered.com/app/2336220/Feed_the_Cups/?l=english
https://steamcommunity.com/sharedfiles/filedetails/?id=3392057656</x:v>
      </x:c>
      <x:c r="M87" s="28" t="str">
        <x:v>建议稿｜未逐项批准</x:v>
      </x:c>
    </x:row>
    <x:row r="88" ht="100" customHeight="1">
      <x:c r="A88" s="18" t="str">
        <x:v>D28</x:v>
      </x:c>
      <x:c r="B88" s="18" t="str">
        <x:v>饮品</x:v>
      </x:c>
      <x:c r="C88" s="18" t="str">
        <x:v>奶茶与小料</x:v>
      </x:c>
      <x:c r="D88" s="18" t="str">
        <x:v>黑糖珍珠鲜奶</x:v>
      </x:c>
      <x:c r="E88" s="18" t="str">
        <x:v>黑糖珍珠×1 + 牛奶×2 + 冰块×1</x:v>
      </x:c>
      <x:c r="F88" s="18" t="str">
        <x:v>黑糖珍珠入杯→加牛奶→加冰</x:v>
      </x:c>
      <x:c r="G88" s="18" t="str">
        <x:v>煮锅、调饮台</x:v>
      </x:c>
      <x:c r="H88" s="18" t="str">
        <x:v>黑糖纹理鲜奶</x:v>
      </x:c>
      <x:c r="I88" s="18" t="str">
        <x:v>透明冷饮杯</x:v>
      </x:c>
      <x:c r="J88" s="18" t="str">
        <x:v>煮珍珠→拌黑糖→加奶</x:v>
      </x:c>
      <x:c r="K88" s="18" t="str">
        <x:v>牛奶、黑糖浆、生珍珠、冰块</x:v>
      </x:c>
      <x:c r="L88" s="18" t="str">
        <x:v>https://store.steampowered.com/app/2336220/Feed_the_Cups/?l=english
https://steamcommunity.com/sharedfiles/filedetails/?id=3392057656</x:v>
      </x:c>
      <x:c r="M88" s="28" t="str">
        <x:v>建议稿｜未逐项批准</x:v>
      </x:c>
    </x:row>
    <x:row r="89" ht="100" customHeight="1">
      <x:c r="A89" s="18" t="str">
        <x:v>D29</x:v>
      </x:c>
      <x:c r="B89" s="18" t="str">
        <x:v>饮品</x:v>
      </x:c>
      <x:c r="C89" s="18" t="str">
        <x:v>果茶与奶盖</x:v>
      </x:c>
      <x:c r="D89" s="18" t="str">
        <x:v>草莓红茶</x:v>
      </x:c>
      <x:c r="E89" s="18" t="str">
        <x:v>草莓果泥×1 + 红茶底×2 + 糖浆×1 + 冰块×1</x:v>
      </x:c>
      <x:c r="F89" s="18" t="str">
        <x:v>草莓果泥+红茶+糖浆→混合→加冰</x:v>
      </x:c>
      <x:c r="G89" s="18" t="str">
        <x:v>切配台、搅打机、调饮台、泡茶桶、取水台</x:v>
      </x:c>
      <x:c r="H89" s="18" t="str">
        <x:v>草莓果茶</x:v>
      </x:c>
      <x:c r="I89" s="18" t="str">
        <x:v>透明冷饮杯</x:v>
      </x:c>
      <x:c r="J89" s="18" t="str">
        <x:v>果泥与茶底两路汇合</x:v>
      </x:c>
      <x:c r="K89" s="18" t="str">
        <x:v>草莓、糖浆、红茶叶、饮用水、冰块</x:v>
      </x:c>
      <x:c r="L89" s="18" t="str">
        <x:v>https://store.steampowered.com/app/2336220/Feed_the_Cups/?l=english
https://steamcommunity.com/sharedfiles/filedetails/?id=3392057656</x:v>
      </x:c>
      <x:c r="M89" s="28" t="str">
        <x:v>建议稿｜未逐项批准</x:v>
      </x:c>
    </x:row>
    <x:row r="90" ht="100" customHeight="1">
      <x:c r="A90" s="18" t="str">
        <x:v>D30</x:v>
      </x:c>
      <x:c r="B90" s="18" t="str">
        <x:v>饮品</x:v>
      </x:c>
      <x:c r="C90" s="18" t="str">
        <x:v>果茶与奶盖</x:v>
      </x:c>
      <x:c r="D90" s="18" t="str">
        <x:v>芒果绿茶</x:v>
      </x:c>
      <x:c r="E90" s="18" t="str">
        <x:v>芒果果泥×1 + 绿茶底×2 + 糖浆×1 + 冰块×1</x:v>
      </x:c>
      <x:c r="F90" s="18" t="str">
        <x:v>芒果果泥+绿茶+糖浆→混合→加冰</x:v>
      </x:c>
      <x:c r="G90" s="18" t="str">
        <x:v>切配台、搅打机、调饮台、泡茶桶、取水台</x:v>
      </x:c>
      <x:c r="H90" s="18" t="str">
        <x:v>芒果果茶</x:v>
      </x:c>
      <x:c r="I90" s="18" t="str">
        <x:v>透明冷饮杯</x:v>
      </x:c>
      <x:c r="J90" s="18" t="str">
        <x:v>果泥与茶底两路汇合</x:v>
      </x:c>
      <x:c r="K90" s="18" t="str">
        <x:v>芒果、糖浆、绿茶叶、饮用水、冰块</x:v>
      </x:c>
      <x:c r="L90" s="18" t="str">
        <x:v>https://store.steampowered.com/app/2336220/Feed_the_Cups/?l=english
https://steamcommunity.com/sharedfiles/filedetails/?id=3392057656</x:v>
      </x:c>
      <x:c r="M90" s="28" t="str">
        <x:v>建议稿｜未逐项批准</x:v>
      </x:c>
    </x:row>
    <x:row r="91" ht="100" customHeight="1">
      <x:c r="A91" s="18" t="str">
        <x:v>D31</x:v>
      </x:c>
      <x:c r="B91" s="18" t="str">
        <x:v>饮品</x:v>
      </x:c>
      <x:c r="C91" s="18" t="str">
        <x:v>果茶与奶盖</x:v>
      </x:c>
      <x:c r="D91" s="18" t="str">
        <x:v>芝士奶盖绿茶</x:v>
      </x:c>
      <x:c r="E91" s="18" t="str">
        <x:v>绿茶底×2 + 芝士奶盖×1 + 冰块×1</x:v>
      </x:c>
      <x:c r="F91" s="18" t="str">
        <x:v>绿茶入杯→加冰→最后加芝士奶盖</x:v>
      </x:c>
      <x:c r="G91" s="18" t="str">
        <x:v>搅拌机、调饮台、泡茶桶、取水台</x:v>
      </x:c>
      <x:c r="H91" s="18" t="str">
        <x:v>白色奶盖层绿茶</x:v>
      </x:c>
      <x:c r="I91" s="18" t="str">
        <x:v>透明冷饮杯</x:v>
      </x:c>
      <x:c r="J91" s="18" t="str">
        <x:v>泡茶与打奶盖并行→封顶</x:v>
      </x:c>
      <x:c r="K91" s="18" t="str">
        <x:v>淡奶油、软芝士、绿茶叶、饮用水、冰块</x:v>
      </x:c>
      <x:c r="L91" s="18" t="str">
        <x:v>https://store.steampowered.com/app/2336220/Feed_the_Cups/?l=english
https://steamcommunity.com/sharedfiles/filedetails/?id=3392057656</x:v>
      </x:c>
      <x:c r="M91" s="28" t="str">
        <x:v>建议稿｜未逐项批准</x:v>
      </x:c>
    </x:row>
  </x:sheetData>
  <x:mergeCells>
    <x:mergeCell ref="A1:M1"/>
    <x:mergeCell ref="A2:M2"/>
  </x:mergeCells>
  <x:dataValidations count="1">
    <x:dataValidation type="list" sqref="M5:M91">
      <x:formula1>"建议稿｜未逐项批准,已确认,需修改,延后"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5e915e12d647e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0" hidden="0" customWidth="1"/>
    <x:col min="4" max="4" width="10" hidden="0" customWidth="1"/>
    <x:col min="5" max="5" width="24" hidden="0" customWidth="1"/>
    <x:col min="6" max="6" width="36" hidden="0" customWidth="1"/>
    <x:col min="7" max="7" width="40" hidden="0" customWidth="1"/>
    <x:col min="8" max="8" width="24" hidden="0" customWidth="1"/>
    <x:col min="9" max="9" width="20" hidden="0" customWidth="1"/>
    <x:col min="10" max="10" width="40" hidden="0" customWidth="1"/>
  </x:cols>
  <x:sheetData>
    <x:row r="1" ht="34" customHeight="1">
      <x:c r="A1" s="8" t="str">
        <x:v>逐菜完整加工链 · 可按菜品编号筛选</x:v>
      </x:c>
      <x:c r="B1" s="8"/>
      <x:c r="C1" s="8"/>
      <x:c r="D1" s="8"/>
      <x:c r="E1" s="8"/>
      <x:c r="F1" s="8"/>
      <x:c r="G1" s="8"/>
      <x:c r="H1" s="8"/>
      <x:c r="I1" s="8"/>
      <x:c r="J1" s="8"/>
    </x:row>
    <x:row r="2" ht="34" customHeight="1">
      <x:c r="A2" s="14" t="str">
        <x:v>节点按依赖列示；独立分支允许并行，不要求按行号排成串行流水线。准备节点产物可以交给另一位玩家。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30" customHeight="1">
      <x:c r="A4" s="23" t="str">
        <x:v>菜品编号</x:v>
      </x:c>
      <x:c r="B4" s="23" t="str">
        <x:v>菜品</x:v>
      </x:c>
      <x:c r="C4" s="23" t="str">
        <x:v>节点</x:v>
      </x:c>
      <x:c r="D4" s="23" t="str">
        <x:v>类型</x:v>
      </x:c>
      <x:c r="E4" s="23" t="str">
        <x:v>产出/目标</x:v>
      </x:c>
      <x:c r="F4" s="23" t="str">
        <x:v>本步投入</x:v>
      </x:c>
      <x:c r="G4" s="23" t="str">
        <x:v>操作</x:v>
      </x:c>
      <x:c r="H4" s="23" t="str">
        <x:v>本步工位</x:v>
      </x:c>
      <x:c r="I4" s="23" t="str">
        <x:v>承载形式</x:v>
      </x:c>
      <x:c r="J4" s="23" t="str">
        <x:v>上游依赖</x:v>
      </x:c>
    </x:row>
    <x:row r="5" ht="64" customHeight="1">
      <x:c r="A5" s="18" t="str">
        <x:v>F01</x:v>
      </x:c>
      <x:c r="B5" s="18" t="str">
        <x:v>田园沙拉</x:v>
      </x:c>
      <x:c r="C5" s="18" t="str">
        <x:v>P01</x:v>
      </x:c>
      <x:c r="D5" s="18" t="str">
        <x:v>准备</x:v>
      </x:c>
      <x:c r="E5" s="18" t="str">
        <x:v>生菜片</x:v>
      </x:c>
      <x:c r="F5" s="18" t="str">
        <x:v>生菜×1</x:v>
      </x:c>
      <x:c r="G5" s="18" t="str">
        <x:v>生菜→切配→生菜片</x:v>
      </x:c>
      <x:c r="H5" s="18" t="str">
        <x:v>切配台</x:v>
      </x:c>
      <x:c r="I5" s="18" t="str">
        <x:v>备料盒</x:v>
      </x:c>
      <x:c r="J5" s="18" t="str">
        <x:v>供货：生菜</x:v>
      </x:c>
    </x:row>
    <x:row r="6" ht="64" customHeight="1">
      <x:c r="A6" s="18" t="str">
        <x:v>F01</x:v>
      </x:c>
      <x:c r="B6" s="18" t="str">
        <x:v>田园沙拉</x:v>
      </x:c>
      <x:c r="C6" s="18" t="str">
        <x:v>P02</x:v>
      </x:c>
      <x:c r="D6" s="18" t="str">
        <x:v>准备</x:v>
      </x:c>
      <x:c r="E6" s="18" t="str">
        <x:v>番茄块</x:v>
      </x:c>
      <x:c r="F6" s="18" t="str">
        <x:v>番茄×1</x:v>
      </x:c>
      <x:c r="G6" s="18" t="str">
        <x:v>番茄→切配→番茄块</x:v>
      </x:c>
      <x:c r="H6" s="18" t="str">
        <x:v>切配台</x:v>
      </x:c>
      <x:c r="I6" s="18" t="str">
        <x:v>备料盒</x:v>
      </x:c>
      <x:c r="J6" s="18" t="str">
        <x:v>供货：番茄</x:v>
      </x:c>
    </x:row>
    <x:row r="7" ht="64" customHeight="1">
      <x:c r="A7" s="18" t="str">
        <x:v>F01</x:v>
      </x:c>
      <x:c r="B7" s="18" t="str">
        <x:v>田园沙拉</x:v>
      </x:c>
      <x:c r="C7" s="18" t="str">
        <x:v>P03</x:v>
      </x:c>
      <x:c r="D7" s="18" t="str">
        <x:v>准备</x:v>
      </x:c>
      <x:c r="E7" s="18" t="str">
        <x:v>黄瓜片</x:v>
      </x:c>
      <x:c r="F7" s="18" t="str">
        <x:v>黄瓜×1</x:v>
      </x:c>
      <x:c r="G7" s="18" t="str">
        <x:v>黄瓜→切配→黄瓜片</x:v>
      </x:c>
      <x:c r="H7" s="18" t="str">
        <x:v>切配台</x:v>
      </x:c>
      <x:c r="I7" s="18" t="str">
        <x:v>备料盒</x:v>
      </x:c>
      <x:c r="J7" s="18" t="str">
        <x:v>供货：黄瓜</x:v>
      </x:c>
    </x:row>
    <x:row r="8" ht="64" customHeight="1">
      <x:c r="A8" s="18" t="str">
        <x:v>F01</x:v>
      </x:c>
      <x:c r="B8" s="18" t="str">
        <x:v>田园沙拉</x:v>
      </x:c>
      <x:c r="C8" s="18" t="str">
        <x:v>FINAL</x:v>
      </x:c>
      <x:c r="D8" s="18" t="str">
        <x:v>成品</x:v>
      </x:c>
      <x:c r="E8" s="18" t="str">
        <x:v>三色蔬菜拼配</x:v>
      </x:c>
      <x:c r="F8" s="18" t="str">
        <x:v>生菜片×1 + 番茄块×1 + 黄瓜片×1</x:v>
      </x:c>
      <x:c r="G8" s="18" t="str">
        <x:v>三种切配蔬菜→装盘</x:v>
      </x:c>
      <x:c r="H8" s="18" t="str">
        <x:v>组装台</x:v>
      </x:c>
      <x:c r="I8" s="18" t="str">
        <x:v>餐盘</x:v>
      </x:c>
      <x:c r="J8" s="18" t="str">
        <x:v>P01 生菜片；P02 番茄块；P03 黄瓜片</x:v>
      </x:c>
    </x:row>
    <x:row r="9" ht="64" customHeight="1">
      <x:c r="A9" s="18" t="str">
        <x:v>F01</x:v>
      </x:c>
      <x:c r="B9" s="18" t="str">
        <x:v>田园沙拉</x:v>
      </x:c>
      <x:c r="C9" s="18" t="str">
        <x:v>SERVE</x:v>
      </x:c>
      <x:c r="D9" s="18" t="str">
        <x:v>交付</x:v>
      </x:c>
      <x:c r="E9" s="18" t="str">
        <x:v>可交付订单</x:v>
      </x:c>
      <x:c r="F9" s="18" t="str">
        <x:v>已完成菜品</x:v>
      </x:c>
      <x:c r="G9" s="18" t="str">
        <x:v>完成装盘→暂存/交接→按订单交付</x:v>
      </x:c>
      <x:c r="H9" s="18" t="str">
        <x:v>出餐点</x:v>
      </x:c>
      <x:c r="I9" s="18" t="str">
        <x:v>餐盘</x:v>
      </x:c>
      <x:c r="J9" s="18" t="str">
        <x:v>FINAL</x:v>
      </x:c>
    </x:row>
    <x:row r="10" ht="64" customHeight="1">
      <x:c r="A10" s="18" t="str">
        <x:v>F02</x:v>
      </x:c>
      <x:c r="B10" s="18" t="str">
        <x:v>芝士蔬菜沙拉</x:v>
      </x:c>
      <x:c r="C10" s="18" t="str">
        <x:v>P01</x:v>
      </x:c>
      <x:c r="D10" s="18" t="str">
        <x:v>准备</x:v>
      </x:c>
      <x:c r="E10" s="18" t="str">
        <x:v>生菜片</x:v>
      </x:c>
      <x:c r="F10" s="18" t="str">
        <x:v>生菜×1</x:v>
      </x:c>
      <x:c r="G10" s="18" t="str">
        <x:v>生菜→切配→生菜片</x:v>
      </x:c>
      <x:c r="H10" s="18" t="str">
        <x:v>切配台</x:v>
      </x:c>
      <x:c r="I10" s="18" t="str">
        <x:v>备料盒</x:v>
      </x:c>
      <x:c r="J10" s="18" t="str">
        <x:v>供货：生菜</x:v>
      </x:c>
    </x:row>
    <x:row r="11" ht="64" customHeight="1">
      <x:c r="A11" s="18" t="str">
        <x:v>F02</x:v>
      </x:c>
      <x:c r="B11" s="18" t="str">
        <x:v>芝士蔬菜沙拉</x:v>
      </x:c>
      <x:c r="C11" s="18" t="str">
        <x:v>P02</x:v>
      </x:c>
      <x:c r="D11" s="18" t="str">
        <x:v>准备</x:v>
      </x:c>
      <x:c r="E11" s="18" t="str">
        <x:v>番茄块</x:v>
      </x:c>
      <x:c r="F11" s="18" t="str">
        <x:v>番茄×1</x:v>
      </x:c>
      <x:c r="G11" s="18" t="str">
        <x:v>番茄→切配→番茄块</x:v>
      </x:c>
      <x:c r="H11" s="18" t="str">
        <x:v>切配台</x:v>
      </x:c>
      <x:c r="I11" s="18" t="str">
        <x:v>备料盒</x:v>
      </x:c>
      <x:c r="J11" s="18" t="str">
        <x:v>供货：番茄</x:v>
      </x:c>
    </x:row>
    <x:row r="12" ht="64" customHeight="1">
      <x:c r="A12" s="18" t="str">
        <x:v>F02</x:v>
      </x:c>
      <x:c r="B12" s="18" t="str">
        <x:v>芝士蔬菜沙拉</x:v>
      </x:c>
      <x:c r="C12" s="18" t="str">
        <x:v>P03</x:v>
      </x:c>
      <x:c r="D12" s="18" t="str">
        <x:v>准备</x:v>
      </x:c>
      <x:c r="E12" s="18" t="str">
        <x:v>黄瓜片</x:v>
      </x:c>
      <x:c r="F12" s="18" t="str">
        <x:v>黄瓜×1</x:v>
      </x:c>
      <x:c r="G12" s="18" t="str">
        <x:v>黄瓜→切配→黄瓜片</x:v>
      </x:c>
      <x:c r="H12" s="18" t="str">
        <x:v>切配台</x:v>
      </x:c>
      <x:c r="I12" s="18" t="str">
        <x:v>备料盒</x:v>
      </x:c>
      <x:c r="J12" s="18" t="str">
        <x:v>供货：黄瓜</x:v>
      </x:c>
    </x:row>
    <x:row r="13" ht="64" customHeight="1">
      <x:c r="A13" s="18" t="str">
        <x:v>F02</x:v>
      </x:c>
      <x:c r="B13" s="18" t="str">
        <x:v>芝士蔬菜沙拉</x:v>
      </x:c>
      <x:c r="C13" s="18" t="str">
        <x:v>FINAL</x:v>
      </x:c>
      <x:c r="D13" s="18" t="str">
        <x:v>成品</x:v>
      </x:c>
      <x:c r="E13" s="18" t="str">
        <x:v>有芝士的蔬菜沙拉</x:v>
      </x:c>
      <x:c r="F13" s="18" t="str">
        <x:v>生菜片×1 + 番茄块×1 + 黄瓜片×1 + 芝士片×1</x:v>
      </x:c>
      <x:c r="G13" s="18" t="str">
        <x:v>切配蔬菜入盘→添加芝士</x:v>
      </x:c>
      <x:c r="H13" s="18" t="str">
        <x:v>组装台</x:v>
      </x:c>
      <x:c r="I13" s="18" t="str">
        <x:v>餐盘</x:v>
      </x:c>
      <x:c r="J13" s="18" t="str">
        <x:v>P01 生菜片；P02 番茄块；P03 黄瓜片；供货：芝士片</x:v>
      </x:c>
    </x:row>
    <x:row r="14" ht="64" customHeight="1">
      <x:c r="A14" s="18" t="str">
        <x:v>F02</x:v>
      </x:c>
      <x:c r="B14" s="18" t="str">
        <x:v>芝士蔬菜沙拉</x:v>
      </x:c>
      <x:c r="C14" s="18" t="str">
        <x:v>SERVE</x:v>
      </x:c>
      <x:c r="D14" s="18" t="str">
        <x:v>交付</x:v>
      </x:c>
      <x:c r="E14" s="18" t="str">
        <x:v>可交付订单</x:v>
      </x:c>
      <x:c r="F14" s="18" t="str">
        <x:v>已完成菜品</x:v>
      </x:c>
      <x:c r="G14" s="18" t="str">
        <x:v>完成装盘→暂存/交接→按订单交付</x:v>
      </x:c>
      <x:c r="H14" s="18" t="str">
        <x:v>出餐点</x:v>
      </x:c>
      <x:c r="I14" s="18" t="str">
        <x:v>餐盘</x:v>
      </x:c>
      <x:c r="J14" s="18" t="str">
        <x:v>FINAL</x:v>
      </x:c>
    </x:row>
    <x:row r="15" ht="64" customHeight="1">
      <x:c r="A15" s="18" t="str">
        <x:v>F03</x:v>
      </x:c>
      <x:c r="B15" s="18" t="str">
        <x:v>煎鸡肉沙拉</x:v>
      </x:c>
      <x:c r="C15" s="18" t="str">
        <x:v>P01</x:v>
      </x:c>
      <x:c r="D15" s="18" t="str">
        <x:v>准备</x:v>
      </x:c>
      <x:c r="E15" s="18" t="str">
        <x:v>生菜片</x:v>
      </x:c>
      <x:c r="F15" s="18" t="str">
        <x:v>生菜×1</x:v>
      </x:c>
      <x:c r="G15" s="18" t="str">
        <x:v>生菜→切配→生菜片</x:v>
      </x:c>
      <x:c r="H15" s="18" t="str">
        <x:v>切配台</x:v>
      </x:c>
      <x:c r="I15" s="18" t="str">
        <x:v>备料盒</x:v>
      </x:c>
      <x:c r="J15" s="18" t="str">
        <x:v>供货：生菜</x:v>
      </x:c>
    </x:row>
    <x:row r="16" ht="64" customHeight="1">
      <x:c r="A16" s="18" t="str">
        <x:v>F03</x:v>
      </x:c>
      <x:c r="B16" s="18" t="str">
        <x:v>煎鸡肉沙拉</x:v>
      </x:c>
      <x:c r="C16" s="18" t="str">
        <x:v>P02</x:v>
      </x:c>
      <x:c r="D16" s="18" t="str">
        <x:v>准备</x:v>
      </x:c>
      <x:c r="E16" s="18" t="str">
        <x:v>番茄块</x:v>
      </x:c>
      <x:c r="F16" s="18" t="str">
        <x:v>番茄×1</x:v>
      </x:c>
      <x:c r="G16" s="18" t="str">
        <x:v>番茄→切配→番茄块</x:v>
      </x:c>
      <x:c r="H16" s="18" t="str">
        <x:v>切配台</x:v>
      </x:c>
      <x:c r="I16" s="18" t="str">
        <x:v>备料盒</x:v>
      </x:c>
      <x:c r="J16" s="18" t="str">
        <x:v>供货：番茄</x:v>
      </x:c>
    </x:row>
    <x:row r="17" ht="64" customHeight="1">
      <x:c r="A17" s="18" t="str">
        <x:v>F03</x:v>
      </x:c>
      <x:c r="B17" s="18" t="str">
        <x:v>煎鸡肉沙拉</x:v>
      </x:c>
      <x:c r="C17" s="18" t="str">
        <x:v>P16</x:v>
      </x:c>
      <x:c r="D17" s="18" t="str">
        <x:v>准备</x:v>
      </x:c>
      <x:c r="E17" s="18" t="str">
        <x:v>鸡肉切配件</x:v>
      </x:c>
      <x:c r="F17" s="18" t="str">
        <x:v>鸡肉块×1</x:v>
      </x:c>
      <x:c r="G17" s="18" t="str">
        <x:v>鸡肉块→切配→鸡肉切配件</x:v>
      </x:c>
      <x:c r="H17" s="18" t="str">
        <x:v>切配台</x:v>
      </x:c>
      <x:c r="I17" s="18" t="str">
        <x:v>备料盒</x:v>
      </x:c>
      <x:c r="J17" s="18" t="str">
        <x:v>供货：鸡肉块</x:v>
      </x:c>
    </x:row>
    <x:row r="18" ht="64" customHeight="1">
      <x:c r="A18" s="18" t="str">
        <x:v>F03</x:v>
      </x:c>
      <x:c r="B18" s="18" t="str">
        <x:v>煎鸡肉沙拉</x:v>
      </x:c>
      <x:c r="C18" s="18" t="str">
        <x:v>P22</x:v>
      </x:c>
      <x:c r="D18" s="18" t="str">
        <x:v>准备</x:v>
      </x:c>
      <x:c r="E18" s="18" t="str">
        <x:v>熟鸡肉</x:v>
      </x:c>
      <x:c r="F18" s="18" t="str">
        <x:v>鸡肉切配件×1</x:v>
      </x:c>
      <x:c r="G18" s="18" t="str">
        <x:v>鸡肉切配件→煎熟</x:v>
      </x:c>
      <x:c r="H18" s="18" t="str">
        <x:v>煎台</x:v>
      </x:c>
      <x:c r="I18" s="18" t="str">
        <x:v>备料盘</x:v>
      </x:c>
      <x:c r="J18" s="18" t="str">
        <x:v>P16 鸡肉切配件</x:v>
      </x:c>
    </x:row>
    <x:row r="19" ht="64" customHeight="1">
      <x:c r="A19" s="18" t="str">
        <x:v>F03</x:v>
      </x:c>
      <x:c r="B19" s="18" t="str">
        <x:v>煎鸡肉沙拉</x:v>
      </x:c>
      <x:c r="C19" s="18" t="str">
        <x:v>FINAL</x:v>
      </x:c>
      <x:c r="D19" s="18" t="str">
        <x:v>成品</x:v>
      </x:c>
      <x:c r="E19" s="18" t="str">
        <x:v>蔬菜上有可见鸡肉</x:v>
      </x:c>
      <x:c r="F19" s="18" t="str">
        <x:v>生菜片×1 + 番茄块×1 + 熟鸡肉×1</x:v>
      </x:c>
      <x:c r="G19" s="18" t="str">
        <x:v>蔬菜入盘→加入煎熟鸡肉</x:v>
      </x:c>
      <x:c r="H19" s="18" t="str">
        <x:v>组装台</x:v>
      </x:c>
      <x:c r="I19" s="18" t="str">
        <x:v>餐盘</x:v>
      </x:c>
      <x:c r="J19" s="18" t="str">
        <x:v>P01 生菜片；P02 番茄块；P22 熟鸡肉</x:v>
      </x:c>
    </x:row>
    <x:row r="20" ht="64" customHeight="1">
      <x:c r="A20" s="18" t="str">
        <x:v>F03</x:v>
      </x:c>
      <x:c r="B20" s="18" t="str">
        <x:v>煎鸡肉沙拉</x:v>
      </x:c>
      <x:c r="C20" s="18" t="str">
        <x:v>SERVE</x:v>
      </x:c>
      <x:c r="D20" s="18" t="str">
        <x:v>交付</x:v>
      </x:c>
      <x:c r="E20" s="18" t="str">
        <x:v>可交付订单</x:v>
      </x:c>
      <x:c r="F20" s="18" t="str">
        <x:v>已完成菜品</x:v>
      </x:c>
      <x:c r="G20" s="18" t="str">
        <x:v>完成装盘→暂存/交接→按订单交付</x:v>
      </x:c>
      <x:c r="H20" s="18" t="str">
        <x:v>出餐点</x:v>
      </x:c>
      <x:c r="I20" s="18" t="str">
        <x:v>餐盘</x:v>
      </x:c>
      <x:c r="J20" s="18" t="str">
        <x:v>FINAL</x:v>
      </x:c>
    </x:row>
    <x:row r="21" ht="64" customHeight="1">
      <x:c r="A21" s="18" t="str">
        <x:v>F04</x:v>
      </x:c>
      <x:c r="B21" s="18" t="str">
        <x:v>番茄汤</x:v>
      </x:c>
      <x:c r="C21" s="18" t="str">
        <x:v>P02</x:v>
      </x:c>
      <x:c r="D21" s="18" t="str">
        <x:v>准备</x:v>
      </x:c>
      <x:c r="E21" s="18" t="str">
        <x:v>番茄块</x:v>
      </x:c>
      <x:c r="F21" s="18" t="str">
        <x:v>番茄×1</x:v>
      </x:c>
      <x:c r="G21" s="18" t="str">
        <x:v>番茄→切配→番茄块</x:v>
      </x:c>
      <x:c r="H21" s="18" t="str">
        <x:v>切配台</x:v>
      </x:c>
      <x:c r="I21" s="18" t="str">
        <x:v>备料盒</x:v>
      </x:c>
      <x:c r="J21" s="18" t="str">
        <x:v>供货：番茄</x:v>
      </x:c>
    </x:row>
    <x:row r="22" ht="64" customHeight="1">
      <x:c r="A22" s="18" t="str">
        <x:v>F04</x:v>
      </x:c>
      <x:c r="B22" s="18" t="str">
        <x:v>番茄汤</x:v>
      </x:c>
      <x:c r="C22" s="18" t="str">
        <x:v>P04</x:v>
      </x:c>
      <x:c r="D22" s="18" t="str">
        <x:v>准备</x:v>
      </x:c>
      <x:c r="E22" s="18" t="str">
        <x:v>洋葱块</x:v>
      </x:c>
      <x:c r="F22" s="18" t="str">
        <x:v>洋葱×1</x:v>
      </x:c>
      <x:c r="G22" s="18" t="str">
        <x:v>洋葱→切配→洋葱块</x:v>
      </x:c>
      <x:c r="H22" s="18" t="str">
        <x:v>切配台</x:v>
      </x:c>
      <x:c r="I22" s="18" t="str">
        <x:v>备料盒</x:v>
      </x:c>
      <x:c r="J22" s="18" t="str">
        <x:v>供货：洋葱</x:v>
      </x:c>
    </x:row>
    <x:row r="23" ht="64" customHeight="1">
      <x:c r="A23" s="18" t="str">
        <x:v>F04</x:v>
      </x:c>
      <x:c r="B23" s="18" t="str">
        <x:v>番茄汤</x:v>
      </x:c>
      <x:c r="C23" s="18" t="str">
        <x:v>FINAL</x:v>
      </x:c>
      <x:c r="D23" s="18" t="str">
        <x:v>成品</x:v>
      </x:c>
      <x:c r="E23" s="18" t="str">
        <x:v>红色汤体</x:v>
      </x:c>
      <x:c r="F23" s="18" t="str">
        <x:v>番茄块×1 + 洋葱块×1 + 清汤底×1</x:v>
      </x:c>
      <x:c r="G23" s="18" t="str">
        <x:v>番茄、洋葱和汤底入锅→煮成汤→盛碗</x:v>
      </x:c>
      <x:c r="H23" s="18" t="str">
        <x:v>煮锅</x:v>
      </x:c>
      <x:c r="I23" s="18" t="str">
        <x:v>汤碗</x:v>
      </x:c>
      <x:c r="J23" s="18" t="str">
        <x:v>P02 番茄块；P04 洋葱块；供货：清汤底</x:v>
      </x:c>
    </x:row>
    <x:row r="24" ht="64" customHeight="1">
      <x:c r="A24" s="18" t="str">
        <x:v>F04</x:v>
      </x:c>
      <x:c r="B24" s="18" t="str">
        <x:v>番茄汤</x:v>
      </x:c>
      <x:c r="C24" s="18" t="str">
        <x:v>SERVE</x:v>
      </x:c>
      <x:c r="D24" s="18" t="str">
        <x:v>交付</x:v>
      </x:c>
      <x:c r="E24" s="18" t="str">
        <x:v>可交付订单</x:v>
      </x:c>
      <x:c r="F24" s="18" t="str">
        <x:v>已完成菜品</x:v>
      </x:c>
      <x:c r="G24" s="18" t="str">
        <x:v>完成装盘→暂存/交接→按订单交付</x:v>
      </x:c>
      <x:c r="H24" s="18" t="str">
        <x:v>出餐点</x:v>
      </x:c>
      <x:c r="I24" s="18" t="str">
        <x:v>汤碗</x:v>
      </x:c>
      <x:c r="J24" s="18" t="str">
        <x:v>FINAL</x:v>
      </x:c>
    </x:row>
    <x:row r="25" ht="64" customHeight="1">
      <x:c r="A25" s="18" t="str">
        <x:v>F05</x:v>
      </x:c>
      <x:c r="B25" s="18" t="str">
        <x:v>奶油蘑菇汤</x:v>
      </x:c>
      <x:c r="C25" s="18" t="str">
        <x:v>P05</x:v>
      </x:c>
      <x:c r="D25" s="18" t="str">
        <x:v>准备</x:v>
      </x:c>
      <x:c r="E25" s="18" t="str">
        <x:v>蘑菇片</x:v>
      </x:c>
      <x:c r="F25" s="18" t="str">
        <x:v>蘑菇×1</x:v>
      </x:c>
      <x:c r="G25" s="18" t="str">
        <x:v>蘑菇→切配→蘑菇片</x:v>
      </x:c>
      <x:c r="H25" s="18" t="str">
        <x:v>切配台</x:v>
      </x:c>
      <x:c r="I25" s="18" t="str">
        <x:v>备料盒</x:v>
      </x:c>
      <x:c r="J25" s="18" t="str">
        <x:v>供货：蘑菇</x:v>
      </x:c>
    </x:row>
    <x:row r="26" ht="64" customHeight="1">
      <x:c r="A26" s="18" t="str">
        <x:v>F05</x:v>
      </x:c>
      <x:c r="B26" s="18" t="str">
        <x:v>奶油蘑菇汤</x:v>
      </x:c>
      <x:c r="C26" s="18" t="str">
        <x:v>P04</x:v>
      </x:c>
      <x:c r="D26" s="18" t="str">
        <x:v>准备</x:v>
      </x:c>
      <x:c r="E26" s="18" t="str">
        <x:v>洋葱块</x:v>
      </x:c>
      <x:c r="F26" s="18" t="str">
        <x:v>洋葱×1</x:v>
      </x:c>
      <x:c r="G26" s="18" t="str">
        <x:v>洋葱→切配→洋葱块</x:v>
      </x:c>
      <x:c r="H26" s="18" t="str">
        <x:v>切配台</x:v>
      </x:c>
      <x:c r="I26" s="18" t="str">
        <x:v>备料盒</x:v>
      </x:c>
      <x:c r="J26" s="18" t="str">
        <x:v>供货：洋葱</x:v>
      </x:c>
    </x:row>
    <x:row r="27" ht="64" customHeight="1">
      <x:c r="A27" s="18" t="str">
        <x:v>F05</x:v>
      </x:c>
      <x:c r="B27" s="18" t="str">
        <x:v>奶油蘑菇汤</x:v>
      </x:c>
      <x:c r="C27" s="18" t="str">
        <x:v>FINAL</x:v>
      </x:c>
      <x:c r="D27" s="18" t="str">
        <x:v>成品</x:v>
      </x:c>
      <x:c r="E27" s="18" t="str">
        <x:v>浅色汤体与蘑菇</x:v>
      </x:c>
      <x:c r="F27" s="18" t="str">
        <x:v>蘑菇片×1 + 洋葱块×1 + 清汤底×1 + 淡奶油×1</x:v>
      </x:c>
      <x:c r="G27" s="18" t="str">
        <x:v>蘑菇、洋葱和汤底入锅→煮制→加奶油混合→盛碗</x:v>
      </x:c>
      <x:c r="H27" s="18" t="str">
        <x:v>煮锅</x:v>
      </x:c>
      <x:c r="I27" s="18" t="str">
        <x:v>汤碗</x:v>
      </x:c>
      <x:c r="J27" s="18" t="str">
        <x:v>P05 蘑菇片；P04 洋葱块；供货：清汤底；供货：淡奶油</x:v>
      </x:c>
    </x:row>
    <x:row r="28" ht="64" customHeight="1">
      <x:c r="A28" s="18" t="str">
        <x:v>F05</x:v>
      </x:c>
      <x:c r="B28" s="18" t="str">
        <x:v>奶油蘑菇汤</x:v>
      </x:c>
      <x:c r="C28" s="18" t="str">
        <x:v>SERVE</x:v>
      </x:c>
      <x:c r="D28" s="18" t="str">
        <x:v>交付</x:v>
      </x:c>
      <x:c r="E28" s="18" t="str">
        <x:v>可交付订单</x:v>
      </x:c>
      <x:c r="F28" s="18" t="str">
        <x:v>已完成菜品</x:v>
      </x:c>
      <x:c r="G28" s="18" t="str">
        <x:v>完成装盘→暂存/交接→按订单交付</x:v>
      </x:c>
      <x:c r="H28" s="18" t="str">
        <x:v>出餐点</x:v>
      </x:c>
      <x:c r="I28" s="18" t="str">
        <x:v>汤碗</x:v>
      </x:c>
      <x:c r="J28" s="18" t="str">
        <x:v>FINAL</x:v>
      </x:c>
    </x:row>
    <x:row r="29" ht="64" customHeight="1">
      <x:c r="A29" s="18" t="str">
        <x:v>F06</x:v>
      </x:c>
      <x:c r="B29" s="18" t="str">
        <x:v>土豆蔬菜汤</x:v>
      </x:c>
      <x:c r="C29" s="18" t="str">
        <x:v>P07</x:v>
      </x:c>
      <x:c r="D29" s="18" t="str">
        <x:v>准备</x:v>
      </x:c>
      <x:c r="E29" s="18" t="str">
        <x:v>土豆块</x:v>
      </x:c>
      <x:c r="F29" s="18" t="str">
        <x:v>土豆×1</x:v>
      </x:c>
      <x:c r="G29" s="18" t="str">
        <x:v>土豆→切配→土豆块</x:v>
      </x:c>
      <x:c r="H29" s="18" t="str">
        <x:v>切配台</x:v>
      </x:c>
      <x:c r="I29" s="18" t="str">
        <x:v>备料盒</x:v>
      </x:c>
      <x:c r="J29" s="18" t="str">
        <x:v>供货：土豆</x:v>
      </x:c>
    </x:row>
    <x:row r="30" ht="64" customHeight="1">
      <x:c r="A30" s="18" t="str">
        <x:v>F06</x:v>
      </x:c>
      <x:c r="B30" s="18" t="str">
        <x:v>土豆蔬菜汤</x:v>
      </x:c>
      <x:c r="C30" s="18" t="str">
        <x:v>P06</x:v>
      </x:c>
      <x:c r="D30" s="18" t="str">
        <x:v>准备</x:v>
      </x:c>
      <x:c r="E30" s="18" t="str">
        <x:v>胡萝卜块</x:v>
      </x:c>
      <x:c r="F30" s="18" t="str">
        <x:v>胡萝卜×1</x:v>
      </x:c>
      <x:c r="G30" s="18" t="str">
        <x:v>胡萝卜→切配→胡萝卜块</x:v>
      </x:c>
      <x:c r="H30" s="18" t="str">
        <x:v>切配台</x:v>
      </x:c>
      <x:c r="I30" s="18" t="str">
        <x:v>备料盒</x:v>
      </x:c>
      <x:c r="J30" s="18" t="str">
        <x:v>供货：胡萝卜</x:v>
      </x:c>
    </x:row>
    <x:row r="31" ht="64" customHeight="1">
      <x:c r="A31" s="18" t="str">
        <x:v>F06</x:v>
      </x:c>
      <x:c r="B31" s="18" t="str">
        <x:v>土豆蔬菜汤</x:v>
      </x:c>
      <x:c r="C31" s="18" t="str">
        <x:v>P04</x:v>
      </x:c>
      <x:c r="D31" s="18" t="str">
        <x:v>准备</x:v>
      </x:c>
      <x:c r="E31" s="18" t="str">
        <x:v>洋葱块</x:v>
      </x:c>
      <x:c r="F31" s="18" t="str">
        <x:v>洋葱×1</x:v>
      </x:c>
      <x:c r="G31" s="18" t="str">
        <x:v>洋葱→切配→洋葱块</x:v>
      </x:c>
      <x:c r="H31" s="18" t="str">
        <x:v>切配台</x:v>
      </x:c>
      <x:c r="I31" s="18" t="str">
        <x:v>备料盒</x:v>
      </x:c>
      <x:c r="J31" s="18" t="str">
        <x:v>供货：洋葱</x:v>
      </x:c>
    </x:row>
    <x:row r="32" ht="64" customHeight="1">
      <x:c r="A32" s="18" t="str">
        <x:v>F06</x:v>
      </x:c>
      <x:c r="B32" s="18" t="str">
        <x:v>土豆蔬菜汤</x:v>
      </x:c>
      <x:c r="C32" s="18" t="str">
        <x:v>FINAL</x:v>
      </x:c>
      <x:c r="D32" s="18" t="str">
        <x:v>成品</x:v>
      </x:c>
      <x:c r="E32" s="18" t="str">
        <x:v>可见土豆和胡萝卜块</x:v>
      </x:c>
      <x:c r="F32" s="18" t="str">
        <x:v>土豆块×1 + 胡萝卜块×1 + 洋葱块×1 + 清汤底×1</x:v>
      </x:c>
      <x:c r="G32" s="18" t="str">
        <x:v>全部入锅→炖熟→盛碗</x:v>
      </x:c>
      <x:c r="H32" s="18" t="str">
        <x:v>煮锅</x:v>
      </x:c>
      <x:c r="I32" s="18" t="str">
        <x:v>汤碗</x:v>
      </x:c>
      <x:c r="J32" s="18" t="str">
        <x:v>P07 土豆块；P06 胡萝卜块；P04 洋葱块；供货：清汤底</x:v>
      </x:c>
    </x:row>
    <x:row r="33" ht="64" customHeight="1">
      <x:c r="A33" s="18" t="str">
        <x:v>F06</x:v>
      </x:c>
      <x:c r="B33" s="18" t="str">
        <x:v>土豆蔬菜汤</x:v>
      </x:c>
      <x:c r="C33" s="18" t="str">
        <x:v>SERVE</x:v>
      </x:c>
      <x:c r="D33" s="18" t="str">
        <x:v>交付</x:v>
      </x:c>
      <x:c r="E33" s="18" t="str">
        <x:v>可交付订单</x:v>
      </x:c>
      <x:c r="F33" s="18" t="str">
        <x:v>已完成菜品</x:v>
      </x:c>
      <x:c r="G33" s="18" t="str">
        <x:v>完成装盘→暂存/交接→按订单交付</x:v>
      </x:c>
      <x:c r="H33" s="18" t="str">
        <x:v>出餐点</x:v>
      </x:c>
      <x:c r="I33" s="18" t="str">
        <x:v>汤碗</x:v>
      </x:c>
      <x:c r="J33" s="18" t="str">
        <x:v>FINAL</x:v>
      </x:c>
    </x:row>
    <x:row r="34" ht="64" customHeight="1">
      <x:c r="A34" s="18" t="str">
        <x:v>F07</x:v>
      </x:c>
      <x:c r="B34" s="18" t="str">
        <x:v>三文鱼刺身</x:v>
      </x:c>
      <x:c r="C34" s="18" t="str">
        <x:v>P17</x:v>
      </x:c>
      <x:c r="D34" s="18" t="str">
        <x:v>准备</x:v>
      </x:c>
      <x:c r="E34" s="18" t="str">
        <x:v>三文鱼片</x:v>
      </x:c>
      <x:c r="F34" s="18" t="str">
        <x:v>三文鱼肉×1</x:v>
      </x:c>
      <x:c r="G34" s="18" t="str">
        <x:v>三文鱼肉→切配→三文鱼片</x:v>
      </x:c>
      <x:c r="H34" s="18" t="str">
        <x:v>切配台</x:v>
      </x:c>
      <x:c r="I34" s="18" t="str">
        <x:v>备料盒</x:v>
      </x:c>
      <x:c r="J34" s="18" t="str">
        <x:v>供货：三文鱼肉</x:v>
      </x:c>
    </x:row>
    <x:row r="35" ht="64" customHeight="1">
      <x:c r="A35" s="18" t="str">
        <x:v>F07</x:v>
      </x:c>
      <x:c r="B35" s="18" t="str">
        <x:v>三文鱼刺身</x:v>
      </x:c>
      <x:c r="C35" s="18" t="str">
        <x:v>FINAL</x:v>
      </x:c>
      <x:c r="D35" s="18" t="str">
        <x:v>成品</x:v>
      </x:c>
      <x:c r="E35" s="18" t="str">
        <x:v>一份鱼片</x:v>
      </x:c>
      <x:c r="F35" s="18" t="str">
        <x:v>三文鱼片×1</x:v>
      </x:c>
      <x:c r="G35" s="18" t="str">
        <x:v>三文鱼切片→装盘</x:v>
      </x:c>
      <x:c r="H35" s="18" t="str">
        <x:v>组装台</x:v>
      </x:c>
      <x:c r="I35" s="18" t="str">
        <x:v>餐盘</x:v>
      </x:c>
      <x:c r="J35" s="18" t="str">
        <x:v>P17 三文鱼片</x:v>
      </x:c>
    </x:row>
    <x:row r="36" ht="64" customHeight="1">
      <x:c r="A36" s="18" t="str">
        <x:v>F07</x:v>
      </x:c>
      <x:c r="B36" s="18" t="str">
        <x:v>三文鱼刺身</x:v>
      </x:c>
      <x:c r="C36" s="18" t="str">
        <x:v>SERVE</x:v>
      </x:c>
      <x:c r="D36" s="18" t="str">
        <x:v>交付</x:v>
      </x:c>
      <x:c r="E36" s="18" t="str">
        <x:v>可交付订单</x:v>
      </x:c>
      <x:c r="F36" s="18" t="str">
        <x:v>已完成菜品</x:v>
      </x:c>
      <x:c r="G36" s="18" t="str">
        <x:v>完成装盘→暂存/交接→按订单交付</x:v>
      </x:c>
      <x:c r="H36" s="18" t="str">
        <x:v>出餐点</x:v>
      </x:c>
      <x:c r="I36" s="18" t="str">
        <x:v>餐盘</x:v>
      </x:c>
      <x:c r="J36" s="18" t="str">
        <x:v>FINAL</x:v>
      </x:c>
    </x:row>
    <x:row r="37" ht="64" customHeight="1">
      <x:c r="A37" s="18" t="str">
        <x:v>F08</x:v>
      </x:c>
      <x:c r="B37" s="18" t="str">
        <x:v>三文鱼寿司卷</x:v>
      </x:c>
      <x:c r="C37" s="18" t="str">
        <x:v>P19</x:v>
      </x:c>
      <x:c r="D37" s="18" t="str">
        <x:v>准备</x:v>
      </x:c>
      <x:c r="E37" s="18" t="str">
        <x:v>米饭</x:v>
      </x:c>
      <x:c r="F37" s="18" t="str">
        <x:v>米×1</x:v>
      </x:c>
      <x:c r="G37" s="18" t="str">
        <x:v>米入锅→煮熟→可按份取用</x:v>
      </x:c>
      <x:c r="H37" s="18" t="str">
        <x:v>煮锅</x:v>
      </x:c>
      <x:c r="I37" s="18" t="str">
        <x:v>煮锅/饭桶</x:v>
      </x:c>
      <x:c r="J37" s="18" t="str">
        <x:v>供货：米</x:v>
      </x:c>
    </x:row>
    <x:row r="38" ht="64" customHeight="1">
      <x:c r="A38" s="18" t="str">
        <x:v>F08</x:v>
      </x:c>
      <x:c r="B38" s="18" t="str">
        <x:v>三文鱼寿司卷</x:v>
      </x:c>
      <x:c r="C38" s="18" t="str">
        <x:v>P17</x:v>
      </x:c>
      <x:c r="D38" s="18" t="str">
        <x:v>准备</x:v>
      </x:c>
      <x:c r="E38" s="18" t="str">
        <x:v>三文鱼片</x:v>
      </x:c>
      <x:c r="F38" s="18" t="str">
        <x:v>三文鱼肉×1</x:v>
      </x:c>
      <x:c r="G38" s="18" t="str">
        <x:v>三文鱼肉→切配→三文鱼片</x:v>
      </x:c>
      <x:c r="H38" s="18" t="str">
        <x:v>切配台</x:v>
      </x:c>
      <x:c r="I38" s="18" t="str">
        <x:v>备料盒</x:v>
      </x:c>
      <x:c r="J38" s="18" t="str">
        <x:v>供货：三文鱼肉</x:v>
      </x:c>
    </x:row>
    <x:row r="39" ht="64" customHeight="1">
      <x:c r="A39" s="18" t="str">
        <x:v>F08</x:v>
      </x:c>
      <x:c r="B39" s="18" t="str">
        <x:v>三文鱼寿司卷</x:v>
      </x:c>
      <x:c r="C39" s="18" t="str">
        <x:v>FINAL</x:v>
      </x:c>
      <x:c r="D39" s="18" t="str">
        <x:v>成品</x:v>
      </x:c>
      <x:c r="E39" s="18" t="str">
        <x:v>一份切段寿司卷</x:v>
      </x:c>
      <x:c r="F39" s="18" t="str">
        <x:v>米饭×1 + 海苔×1 + 三文鱼片×1</x:v>
      </x:c>
      <x:c r="G39" s="18" t="str">
        <x:v>海苔+熟饭+鱼片→一次卷制→装盘</x:v>
      </x:c>
      <x:c r="H39" s="18" t="str">
        <x:v>组装台</x:v>
      </x:c>
      <x:c r="I39" s="18" t="str">
        <x:v>餐盘</x:v>
      </x:c>
      <x:c r="J39" s="18" t="str">
        <x:v>P19 米饭；供货：海苔；P17 三文鱼片</x:v>
      </x:c>
    </x:row>
    <x:row r="40" ht="64" customHeight="1">
      <x:c r="A40" s="18" t="str">
        <x:v>F08</x:v>
      </x:c>
      <x:c r="B40" s="18" t="str">
        <x:v>三文鱼寿司卷</x:v>
      </x:c>
      <x:c r="C40" s="18" t="str">
        <x:v>SERVE</x:v>
      </x:c>
      <x:c r="D40" s="18" t="str">
        <x:v>交付</x:v>
      </x:c>
      <x:c r="E40" s="18" t="str">
        <x:v>可交付订单</x:v>
      </x:c>
      <x:c r="F40" s="18" t="str">
        <x:v>已完成菜品</x:v>
      </x:c>
      <x:c r="G40" s="18" t="str">
        <x:v>完成装盘→暂存/交接→按订单交付</x:v>
      </x:c>
      <x:c r="H40" s="18" t="str">
        <x:v>出餐点</x:v>
      </x:c>
      <x:c r="I40" s="18" t="str">
        <x:v>餐盘</x:v>
      </x:c>
      <x:c r="J40" s="18" t="str">
        <x:v>FINAL</x:v>
      </x:c>
    </x:row>
    <x:row r="41" ht="64" customHeight="1">
      <x:c r="A41" s="18" t="str">
        <x:v>F09</x:v>
      </x:c>
      <x:c r="B41" s="18" t="str">
        <x:v>黄瓜寿司卷</x:v>
      </x:c>
      <x:c r="C41" s="18" t="str">
        <x:v>P19</x:v>
      </x:c>
      <x:c r="D41" s="18" t="str">
        <x:v>准备</x:v>
      </x:c>
      <x:c r="E41" s="18" t="str">
        <x:v>米饭</x:v>
      </x:c>
      <x:c r="F41" s="18" t="str">
        <x:v>米×1</x:v>
      </x:c>
      <x:c r="G41" s="18" t="str">
        <x:v>米入锅→煮熟→可按份取用</x:v>
      </x:c>
      <x:c r="H41" s="18" t="str">
        <x:v>煮锅</x:v>
      </x:c>
      <x:c r="I41" s="18" t="str">
        <x:v>煮锅/饭桶</x:v>
      </x:c>
      <x:c r="J41" s="18" t="str">
        <x:v>供货：米</x:v>
      </x:c>
    </x:row>
    <x:row r="42" ht="64" customHeight="1">
      <x:c r="A42" s="18" t="str">
        <x:v>F09</x:v>
      </x:c>
      <x:c r="B42" s="18" t="str">
        <x:v>黄瓜寿司卷</x:v>
      </x:c>
      <x:c r="C42" s="18" t="str">
        <x:v>P03</x:v>
      </x:c>
      <x:c r="D42" s="18" t="str">
        <x:v>准备</x:v>
      </x:c>
      <x:c r="E42" s="18" t="str">
        <x:v>黄瓜片</x:v>
      </x:c>
      <x:c r="F42" s="18" t="str">
        <x:v>黄瓜×1</x:v>
      </x:c>
      <x:c r="G42" s="18" t="str">
        <x:v>黄瓜→切配→黄瓜片</x:v>
      </x:c>
      <x:c r="H42" s="18" t="str">
        <x:v>切配台</x:v>
      </x:c>
      <x:c r="I42" s="18" t="str">
        <x:v>备料盒</x:v>
      </x:c>
      <x:c r="J42" s="18" t="str">
        <x:v>供货：黄瓜</x:v>
      </x:c>
    </x:row>
    <x:row r="43" ht="64" customHeight="1">
      <x:c r="A43" s="18" t="str">
        <x:v>F09</x:v>
      </x:c>
      <x:c r="B43" s="18" t="str">
        <x:v>黄瓜寿司卷</x:v>
      </x:c>
      <x:c r="C43" s="18" t="str">
        <x:v>FINAL</x:v>
      </x:c>
      <x:c r="D43" s="18" t="str">
        <x:v>成品</x:v>
      </x:c>
      <x:c r="E43" s="18" t="str">
        <x:v>黄瓜夹心寿司卷</x:v>
      </x:c>
      <x:c r="F43" s="18" t="str">
        <x:v>米饭×1 + 海苔×1 + 黄瓜片×1</x:v>
      </x:c>
      <x:c r="G43" s="18" t="str">
        <x:v>海苔+熟饭+黄瓜→一次卷制→装盘</x:v>
      </x:c>
      <x:c r="H43" s="18" t="str">
        <x:v>组装台</x:v>
      </x:c>
      <x:c r="I43" s="18" t="str">
        <x:v>餐盘</x:v>
      </x:c>
      <x:c r="J43" s="18" t="str">
        <x:v>P19 米饭；供货：海苔；P03 黄瓜片</x:v>
      </x:c>
    </x:row>
    <x:row r="44" ht="64" customHeight="1">
      <x:c r="A44" s="18" t="str">
        <x:v>F09</x:v>
      </x:c>
      <x:c r="B44" s="18" t="str">
        <x:v>黄瓜寿司卷</x:v>
      </x:c>
      <x:c r="C44" s="18" t="str">
        <x:v>SERVE</x:v>
      </x:c>
      <x:c r="D44" s="18" t="str">
        <x:v>交付</x:v>
      </x:c>
      <x:c r="E44" s="18" t="str">
        <x:v>可交付订单</x:v>
      </x:c>
      <x:c r="F44" s="18" t="str">
        <x:v>已完成菜品</x:v>
      </x:c>
      <x:c r="G44" s="18" t="str">
        <x:v>完成装盘→暂存/交接→按订单交付</x:v>
      </x:c>
      <x:c r="H44" s="18" t="str">
        <x:v>出餐点</x:v>
      </x:c>
      <x:c r="I44" s="18" t="str">
        <x:v>餐盘</x:v>
      </x:c>
      <x:c r="J44" s="18" t="str">
        <x:v>FINAL</x:v>
      </x:c>
    </x:row>
    <x:row r="45" ht="64" customHeight="1">
      <x:c r="A45" s="18" t="str">
        <x:v>F10</x:v>
      </x:c>
      <x:c r="B45" s="18" t="str">
        <x:v>熟虾寿司卷</x:v>
      </x:c>
      <x:c r="C45" s="18" t="str">
        <x:v>P19</x:v>
      </x:c>
      <x:c r="D45" s="18" t="str">
        <x:v>准备</x:v>
      </x:c>
      <x:c r="E45" s="18" t="str">
        <x:v>米饭</x:v>
      </x:c>
      <x:c r="F45" s="18" t="str">
        <x:v>米×1</x:v>
      </x:c>
      <x:c r="G45" s="18" t="str">
        <x:v>米入锅→煮熟→可按份取用</x:v>
      </x:c>
      <x:c r="H45" s="18" t="str">
        <x:v>煮锅</x:v>
      </x:c>
      <x:c r="I45" s="18" t="str">
        <x:v>煮锅/饭桶</x:v>
      </x:c>
      <x:c r="J45" s="18" t="str">
        <x:v>供货：米</x:v>
      </x:c>
    </x:row>
    <x:row r="46" ht="64" customHeight="1">
      <x:c r="A46" s="18" t="str">
        <x:v>F10</x:v>
      </x:c>
      <x:c r="B46" s="18" t="str">
        <x:v>熟虾寿司卷</x:v>
      </x:c>
      <x:c r="C46" s="18" t="str">
        <x:v>P25</x:v>
      </x:c>
      <x:c r="D46" s="18" t="str">
        <x:v>准备</x:v>
      </x:c>
      <x:c r="E46" s="18" t="str">
        <x:v>熟虾仁</x:v>
      </x:c>
      <x:c r="F46" s="18" t="str">
        <x:v>虾仁×1</x:v>
      </x:c>
      <x:c r="G46" s="18" t="str">
        <x:v>虾仁→煎熟</x:v>
      </x:c>
      <x:c r="H46" s="18" t="str">
        <x:v>煎台</x:v>
      </x:c>
      <x:c r="I46" s="18" t="str">
        <x:v>备料盘</x:v>
      </x:c>
      <x:c r="J46" s="18" t="str">
        <x:v>供货：虾仁</x:v>
      </x:c>
    </x:row>
    <x:row r="47" ht="64" customHeight="1">
      <x:c r="A47" s="18" t="str">
        <x:v>F10</x:v>
      </x:c>
      <x:c r="B47" s="18" t="str">
        <x:v>熟虾寿司卷</x:v>
      </x:c>
      <x:c r="C47" s="18" t="str">
        <x:v>FINAL</x:v>
      </x:c>
      <x:c r="D47" s="18" t="str">
        <x:v>成品</x:v>
      </x:c>
      <x:c r="E47" s="18" t="str">
        <x:v>熟虾夹心寿司卷</x:v>
      </x:c>
      <x:c r="F47" s="18" t="str">
        <x:v>米饭×1 + 海苔×1 + 熟虾仁×1</x:v>
      </x:c>
      <x:c r="G47" s="18" t="str">
        <x:v>海苔+熟饭+熟虾→一次卷制→装盘</x:v>
      </x:c>
      <x:c r="H47" s="18" t="str">
        <x:v>组装台</x:v>
      </x:c>
      <x:c r="I47" s="18" t="str">
        <x:v>餐盘</x:v>
      </x:c>
      <x:c r="J47" s="18" t="str">
        <x:v>P19 米饭；供货：海苔；P25 熟虾仁</x:v>
      </x:c>
    </x:row>
    <x:row r="48" ht="64" customHeight="1">
      <x:c r="A48" s="18" t="str">
        <x:v>F10</x:v>
      </x:c>
      <x:c r="B48" s="18" t="str">
        <x:v>熟虾寿司卷</x:v>
      </x:c>
      <x:c r="C48" s="18" t="str">
        <x:v>SERVE</x:v>
      </x:c>
      <x:c r="D48" s="18" t="str">
        <x:v>交付</x:v>
      </x:c>
      <x:c r="E48" s="18" t="str">
        <x:v>可交付订单</x:v>
      </x:c>
      <x:c r="F48" s="18" t="str">
        <x:v>已完成菜品</x:v>
      </x:c>
      <x:c r="G48" s="18" t="str">
        <x:v>完成装盘→暂存/交接→按订单交付</x:v>
      </x:c>
      <x:c r="H48" s="18" t="str">
        <x:v>出餐点</x:v>
      </x:c>
      <x:c r="I48" s="18" t="str">
        <x:v>餐盘</x:v>
      </x:c>
      <x:c r="J48" s="18" t="str">
        <x:v>FINAL</x:v>
      </x:c>
    </x:row>
    <x:row r="49" ht="64" customHeight="1">
      <x:c r="A49" s="18" t="str">
        <x:v>F11</x:v>
      </x:c>
      <x:c r="B49" s="18" t="str">
        <x:v>经典牛肉汉堡</x:v>
      </x:c>
      <x:c r="C49" s="18" t="str">
        <x:v>P21</x:v>
      </x:c>
      <x:c r="D49" s="18" t="str">
        <x:v>准备</x:v>
      </x:c>
      <x:c r="E49" s="18" t="str">
        <x:v>熟牛肉饼</x:v>
      </x:c>
      <x:c r="F49" s="18" t="str">
        <x:v>生牛肉饼×1</x:v>
      </x:c>
      <x:c r="G49" s="18" t="str">
        <x:v>生牛肉饼→煎熟</x:v>
      </x:c>
      <x:c r="H49" s="18" t="str">
        <x:v>煎台</x:v>
      </x:c>
      <x:c r="I49" s="18" t="str">
        <x:v>备料盘</x:v>
      </x:c>
      <x:c r="J49" s="18" t="str">
        <x:v>供货：生牛肉饼</x:v>
      </x:c>
    </x:row>
    <x:row r="50" ht="64" customHeight="1">
      <x:c r="A50" s="18" t="str">
        <x:v>F11</x:v>
      </x:c>
      <x:c r="B50" s="18" t="str">
        <x:v>经典牛肉汉堡</x:v>
      </x:c>
      <x:c r="C50" s="18" t="str">
        <x:v>FINAL</x:v>
      </x:c>
      <x:c r="D50" s="18" t="str">
        <x:v>成品</x:v>
      </x:c>
      <x:c r="E50" s="18" t="str">
        <x:v>一层肉饼汉堡</x:v>
      </x:c>
      <x:c r="F50" s="18" t="str">
        <x:v>汉堡面包×1 + 熟牛肉饼×1</x:v>
      </x:c>
      <x:c r="G50" s="18" t="str">
        <x:v>面包+煎熟肉饼→合拢→装盘</x:v>
      </x:c>
      <x:c r="H50" s="18" t="str">
        <x:v>组装台</x:v>
      </x:c>
      <x:c r="I50" s="18" t="str">
        <x:v>餐盘</x:v>
      </x:c>
      <x:c r="J50" s="18" t="str">
        <x:v>供货：汉堡面包；P21 熟牛肉饼</x:v>
      </x:c>
    </x:row>
    <x:row r="51" ht="64" customHeight="1">
      <x:c r="A51" s="18" t="str">
        <x:v>F11</x:v>
      </x:c>
      <x:c r="B51" s="18" t="str">
        <x:v>经典牛肉汉堡</x:v>
      </x:c>
      <x:c r="C51" s="18" t="str">
        <x:v>SERVE</x:v>
      </x:c>
      <x:c r="D51" s="18" t="str">
        <x:v>交付</x:v>
      </x:c>
      <x:c r="E51" s="18" t="str">
        <x:v>可交付订单</x:v>
      </x:c>
      <x:c r="F51" s="18" t="str">
        <x:v>已完成菜品</x:v>
      </x:c>
      <x:c r="G51" s="18" t="str">
        <x:v>完成装盘→暂存/交接→按订单交付</x:v>
      </x:c>
      <x:c r="H51" s="18" t="str">
        <x:v>出餐点</x:v>
      </x:c>
      <x:c r="I51" s="18" t="str">
        <x:v>餐盘</x:v>
      </x:c>
      <x:c r="J51" s="18" t="str">
        <x:v>FINAL</x:v>
      </x:c>
    </x:row>
    <x:row r="52" ht="64" customHeight="1">
      <x:c r="A52" s="18" t="str">
        <x:v>F12</x:v>
      </x:c>
      <x:c r="B52" s="18" t="str">
        <x:v>芝士牛肉汉堡</x:v>
      </x:c>
      <x:c r="C52" s="18" t="str">
        <x:v>P21</x:v>
      </x:c>
      <x:c r="D52" s="18" t="str">
        <x:v>准备</x:v>
      </x:c>
      <x:c r="E52" s="18" t="str">
        <x:v>熟牛肉饼</x:v>
      </x:c>
      <x:c r="F52" s="18" t="str">
        <x:v>生牛肉饼×1</x:v>
      </x:c>
      <x:c r="G52" s="18" t="str">
        <x:v>生牛肉饼→煎熟</x:v>
      </x:c>
      <x:c r="H52" s="18" t="str">
        <x:v>煎台</x:v>
      </x:c>
      <x:c r="I52" s="18" t="str">
        <x:v>备料盘</x:v>
      </x:c>
      <x:c r="J52" s="18" t="str">
        <x:v>供货：生牛肉饼</x:v>
      </x:c>
    </x:row>
    <x:row r="53" ht="64" customHeight="1">
      <x:c r="A53" s="18" t="str">
        <x:v>F12</x:v>
      </x:c>
      <x:c r="B53" s="18" t="str">
        <x:v>芝士牛肉汉堡</x:v>
      </x:c>
      <x:c r="C53" s="18" t="str">
        <x:v>FINAL</x:v>
      </x:c>
      <x:c r="D53" s="18" t="str">
        <x:v>成品</x:v>
      </x:c>
      <x:c r="E53" s="18" t="str">
        <x:v>可见芝士夹层</x:v>
      </x:c>
      <x:c r="F53" s="18" t="str">
        <x:v>汉堡面包×1 + 熟牛肉饼×1 + 芝士片×1</x:v>
      </x:c>
      <x:c r="G53" s="18" t="str">
        <x:v>面包+熟肉饼+芝士→合拢→装盘</x:v>
      </x:c>
      <x:c r="H53" s="18" t="str">
        <x:v>组装台</x:v>
      </x:c>
      <x:c r="I53" s="18" t="str">
        <x:v>餐盘</x:v>
      </x:c>
      <x:c r="J53" s="18" t="str">
        <x:v>供货：汉堡面包；P21 熟牛肉饼；供货：芝士片</x:v>
      </x:c>
    </x:row>
    <x:row r="54" ht="64" customHeight="1">
      <x:c r="A54" s="18" t="str">
        <x:v>F12</x:v>
      </x:c>
      <x:c r="B54" s="18" t="str">
        <x:v>芝士牛肉汉堡</x:v>
      </x:c>
      <x:c r="C54" s="18" t="str">
        <x:v>SERVE</x:v>
      </x:c>
      <x:c r="D54" s="18" t="str">
        <x:v>交付</x:v>
      </x:c>
      <x:c r="E54" s="18" t="str">
        <x:v>可交付订单</x:v>
      </x:c>
      <x:c r="F54" s="18" t="str">
        <x:v>已完成菜品</x:v>
      </x:c>
      <x:c r="G54" s="18" t="str">
        <x:v>完成装盘→暂存/交接→按订单交付</x:v>
      </x:c>
      <x:c r="H54" s="18" t="str">
        <x:v>出餐点</x:v>
      </x:c>
      <x:c r="I54" s="18" t="str">
        <x:v>餐盘</x:v>
      </x:c>
      <x:c r="J54" s="18" t="str">
        <x:v>FINAL</x:v>
      </x:c>
    </x:row>
    <x:row r="55" ht="64" customHeight="1">
      <x:c r="A55" s="18" t="str">
        <x:v>F13</x:v>
      </x:c>
      <x:c r="B55" s="18" t="str">
        <x:v>豪华蔬菜牛肉汉堡</x:v>
      </x:c>
      <x:c r="C55" s="18" t="str">
        <x:v>P21</x:v>
      </x:c>
      <x:c r="D55" s="18" t="str">
        <x:v>准备</x:v>
      </x:c>
      <x:c r="E55" s="18" t="str">
        <x:v>熟牛肉饼</x:v>
      </x:c>
      <x:c r="F55" s="18" t="str">
        <x:v>生牛肉饼×1</x:v>
      </x:c>
      <x:c r="G55" s="18" t="str">
        <x:v>生牛肉饼→煎熟</x:v>
      </x:c>
      <x:c r="H55" s="18" t="str">
        <x:v>煎台</x:v>
      </x:c>
      <x:c r="I55" s="18" t="str">
        <x:v>备料盘</x:v>
      </x:c>
      <x:c r="J55" s="18" t="str">
        <x:v>供货：生牛肉饼</x:v>
      </x:c>
    </x:row>
    <x:row r="56" ht="64" customHeight="1">
      <x:c r="A56" s="18" t="str">
        <x:v>F13</x:v>
      </x:c>
      <x:c r="B56" s="18" t="str">
        <x:v>豪华蔬菜牛肉汉堡</x:v>
      </x:c>
      <x:c r="C56" s="18" t="str">
        <x:v>P01</x:v>
      </x:c>
      <x:c r="D56" s="18" t="str">
        <x:v>准备</x:v>
      </x:c>
      <x:c r="E56" s="18" t="str">
        <x:v>生菜片</x:v>
      </x:c>
      <x:c r="F56" s="18" t="str">
        <x:v>生菜×1</x:v>
      </x:c>
      <x:c r="G56" s="18" t="str">
        <x:v>生菜→切配→生菜片</x:v>
      </x:c>
      <x:c r="H56" s="18" t="str">
        <x:v>切配台</x:v>
      </x:c>
      <x:c r="I56" s="18" t="str">
        <x:v>备料盒</x:v>
      </x:c>
      <x:c r="J56" s="18" t="str">
        <x:v>供货：生菜</x:v>
      </x:c>
    </x:row>
    <x:row r="57" ht="64" customHeight="1">
      <x:c r="A57" s="18" t="str">
        <x:v>F13</x:v>
      </x:c>
      <x:c r="B57" s="18" t="str">
        <x:v>豪华蔬菜牛肉汉堡</x:v>
      </x:c>
      <x:c r="C57" s="18" t="str">
        <x:v>P02</x:v>
      </x:c>
      <x:c r="D57" s="18" t="str">
        <x:v>准备</x:v>
      </x:c>
      <x:c r="E57" s="18" t="str">
        <x:v>番茄块</x:v>
      </x:c>
      <x:c r="F57" s="18" t="str">
        <x:v>番茄×1</x:v>
      </x:c>
      <x:c r="G57" s="18" t="str">
        <x:v>番茄→切配→番茄块</x:v>
      </x:c>
      <x:c r="H57" s="18" t="str">
        <x:v>切配台</x:v>
      </x:c>
      <x:c r="I57" s="18" t="str">
        <x:v>备料盒</x:v>
      </x:c>
      <x:c r="J57" s="18" t="str">
        <x:v>供货：番茄</x:v>
      </x:c>
    </x:row>
    <x:row r="58" ht="64" customHeight="1">
      <x:c r="A58" s="18" t="str">
        <x:v>F13</x:v>
      </x:c>
      <x:c r="B58" s="18" t="str">
        <x:v>豪华蔬菜牛肉汉堡</x:v>
      </x:c>
      <x:c r="C58" s="18" t="str">
        <x:v>FINAL</x:v>
      </x:c>
      <x:c r="D58" s="18" t="str">
        <x:v>成品</x:v>
      </x:c>
      <x:c r="E58" s="18" t="str">
        <x:v>多层牛肉汉堡</x:v>
      </x:c>
      <x:c r="F58" s="18" t="str">
        <x:v>汉堡面包×1 + 熟牛肉饼×1 + 芝士片×1 + 生菜片×1 + 番茄块×1</x:v>
      </x:c>
      <x:c r="G58" s="18" t="str">
        <x:v>面包中组合肉饼、芝士和蔬菜→合拢</x:v>
      </x:c>
      <x:c r="H58" s="18" t="str">
        <x:v>组装台</x:v>
      </x:c>
      <x:c r="I58" s="18" t="str">
        <x:v>餐盘</x:v>
      </x:c>
      <x:c r="J58" s="18" t="str">
        <x:v>供货：汉堡面包；P21 熟牛肉饼；供货：芝士片；P01 生菜片；P02 番茄块</x:v>
      </x:c>
    </x:row>
    <x:row r="59" ht="64" customHeight="1">
      <x:c r="A59" s="18" t="str">
        <x:v>F13</x:v>
      </x:c>
      <x:c r="B59" s="18" t="str">
        <x:v>豪华蔬菜牛肉汉堡</x:v>
      </x:c>
      <x:c r="C59" s="18" t="str">
        <x:v>SERVE</x:v>
      </x:c>
      <x:c r="D59" s="18" t="str">
        <x:v>交付</x:v>
      </x:c>
      <x:c r="E59" s="18" t="str">
        <x:v>可交付订单</x:v>
      </x:c>
      <x:c r="F59" s="18" t="str">
        <x:v>已完成菜品</x:v>
      </x:c>
      <x:c r="G59" s="18" t="str">
        <x:v>完成装盘→暂存/交接→按订单交付</x:v>
      </x:c>
      <x:c r="H59" s="18" t="str">
        <x:v>出餐点</x:v>
      </x:c>
      <x:c r="I59" s="18" t="str">
        <x:v>餐盘</x:v>
      </x:c>
      <x:c r="J59" s="18" t="str">
        <x:v>FINAL</x:v>
      </x:c>
    </x:row>
    <x:row r="60" ht="64" customHeight="1">
      <x:c r="A60" s="18" t="str">
        <x:v>F14</x:v>
      </x:c>
      <x:c r="B60" s="18" t="str">
        <x:v>香脆鸡排汉堡</x:v>
      </x:c>
      <x:c r="C60" s="18" t="str">
        <x:v>P31</x:v>
      </x:c>
      <x:c r="D60" s="18" t="str">
        <x:v>准备</x:v>
      </x:c>
      <x:c r="E60" s="18" t="str">
        <x:v>炸鸡排</x:v>
      </x:c>
      <x:c r="F60" s="18" t="str">
        <x:v>生鸡排×1 + 炸粉×1</x:v>
      </x:c>
      <x:c r="G60" s="18" t="str">
        <x:v>生鸡排加炸粉→一次裹粉→炸熟</x:v>
      </x:c>
      <x:c r="H60" s="18" t="str">
        <x:v>组装台、炸锅</x:v>
      </x:c>
      <x:c r="I60" s="18" t="str">
        <x:v>备料盘</x:v>
      </x:c>
      <x:c r="J60" s="18" t="str">
        <x:v>供货：生鸡排；供货：炸粉</x:v>
      </x:c>
    </x:row>
    <x:row r="61" ht="64" customHeight="1">
      <x:c r="A61" s="18" t="str">
        <x:v>F14</x:v>
      </x:c>
      <x:c r="B61" s="18" t="str">
        <x:v>香脆鸡排汉堡</x:v>
      </x:c>
      <x:c r="C61" s="18" t="str">
        <x:v>P01</x:v>
      </x:c>
      <x:c r="D61" s="18" t="str">
        <x:v>准备</x:v>
      </x:c>
      <x:c r="E61" s="18" t="str">
        <x:v>生菜片</x:v>
      </x:c>
      <x:c r="F61" s="18" t="str">
        <x:v>生菜×1</x:v>
      </x:c>
      <x:c r="G61" s="18" t="str">
        <x:v>生菜→切配→生菜片</x:v>
      </x:c>
      <x:c r="H61" s="18" t="str">
        <x:v>切配台</x:v>
      </x:c>
      <x:c r="I61" s="18" t="str">
        <x:v>备料盒</x:v>
      </x:c>
      <x:c r="J61" s="18" t="str">
        <x:v>供货：生菜</x:v>
      </x:c>
    </x:row>
    <x:row r="62" ht="64" customHeight="1">
      <x:c r="A62" s="18" t="str">
        <x:v>F14</x:v>
      </x:c>
      <x:c r="B62" s="18" t="str">
        <x:v>香脆鸡排汉堡</x:v>
      </x:c>
      <x:c r="C62" s="18" t="str">
        <x:v>FINAL</x:v>
      </x:c>
      <x:c r="D62" s="18" t="str">
        <x:v>成品</x:v>
      </x:c>
      <x:c r="E62" s="18" t="str">
        <x:v>炸鸡夹层汉堡</x:v>
      </x:c>
      <x:c r="F62" s="18" t="str">
        <x:v>汉堡面包×1 + 炸鸡排×1 + 生菜片×1</x:v>
      </x:c>
      <x:c r="G62" s="18" t="str">
        <x:v>炸鸡排+生菜+面包→合拢→装盘</x:v>
      </x:c>
      <x:c r="H62" s="18" t="str">
        <x:v>组装台</x:v>
      </x:c>
      <x:c r="I62" s="18" t="str">
        <x:v>餐盘</x:v>
      </x:c>
      <x:c r="J62" s="18" t="str">
        <x:v>供货：汉堡面包；P31 炸鸡排；P01 生菜片</x:v>
      </x:c>
    </x:row>
    <x:row r="63" ht="64" customHeight="1">
      <x:c r="A63" s="18" t="str">
        <x:v>F14</x:v>
      </x:c>
      <x:c r="B63" s="18" t="str">
        <x:v>香脆鸡排汉堡</x:v>
      </x:c>
      <x:c r="C63" s="18" t="str">
        <x:v>SERVE</x:v>
      </x:c>
      <x:c r="D63" s="18" t="str">
        <x:v>交付</x:v>
      </x:c>
      <x:c r="E63" s="18" t="str">
        <x:v>可交付订单</x:v>
      </x:c>
      <x:c r="F63" s="18" t="str">
        <x:v>已完成菜品</x:v>
      </x:c>
      <x:c r="G63" s="18" t="str">
        <x:v>完成装盘→暂存/交接→按订单交付</x:v>
      </x:c>
      <x:c r="H63" s="18" t="str">
        <x:v>出餐点</x:v>
      </x:c>
      <x:c r="I63" s="18" t="str">
        <x:v>餐盘</x:v>
      </x:c>
      <x:c r="J63" s="18" t="str">
        <x:v>FINAL</x:v>
      </x:c>
    </x:row>
    <x:row r="64" ht="64" customHeight="1">
      <x:c r="A64" s="18" t="str">
        <x:v>F15</x:v>
      </x:c>
      <x:c r="B64" s="18" t="str">
        <x:v>番茄酱热狗</x:v>
      </x:c>
      <x:c r="C64" s="18" t="str">
        <x:v>P27</x:v>
      </x:c>
      <x:c r="D64" s="18" t="str">
        <x:v>准备</x:v>
      </x:c>
      <x:c r="E64" s="18" t="str">
        <x:v>熟香肠</x:v>
      </x:c>
      <x:c r="F64" s="18" t="str">
        <x:v>生香肠×1</x:v>
      </x:c>
      <x:c r="G64" s="18" t="str">
        <x:v>生香肠→煎熟</x:v>
      </x:c>
      <x:c r="H64" s="18" t="str">
        <x:v>煎台</x:v>
      </x:c>
      <x:c r="I64" s="18" t="str">
        <x:v>备料盘</x:v>
      </x:c>
      <x:c r="J64" s="18" t="str">
        <x:v>供货：生香肠</x:v>
      </x:c>
    </x:row>
    <x:row r="65" ht="64" customHeight="1">
      <x:c r="A65" s="18" t="str">
        <x:v>F15</x:v>
      </x:c>
      <x:c r="B65" s="18" t="str">
        <x:v>番茄酱热狗</x:v>
      </x:c>
      <x:c r="C65" s="18" t="str">
        <x:v>FINAL</x:v>
      </x:c>
      <x:c r="D65" s="18" t="str">
        <x:v>成品</x:v>
      </x:c>
      <x:c r="E65" s="18" t="str">
        <x:v>红酱热狗</x:v>
      </x:c>
      <x:c r="F65" s="18" t="str">
        <x:v>热狗面包×1 + 熟香肠×1 + 番茄酱×1</x:v>
      </x:c>
      <x:c r="G65" s="18" t="str">
        <x:v>熟香肠放入面包→加番茄酱→装盘</x:v>
      </x:c>
      <x:c r="H65" s="18" t="str">
        <x:v>组装台</x:v>
      </x:c>
      <x:c r="I65" s="18" t="str">
        <x:v>餐盘</x:v>
      </x:c>
      <x:c r="J65" s="18" t="str">
        <x:v>供货：热狗面包；P27 熟香肠；供货：番茄酱</x:v>
      </x:c>
    </x:row>
    <x:row r="66" ht="64" customHeight="1">
      <x:c r="A66" s="18" t="str">
        <x:v>F15</x:v>
      </x:c>
      <x:c r="B66" s="18" t="str">
        <x:v>番茄酱热狗</x:v>
      </x:c>
      <x:c r="C66" s="18" t="str">
        <x:v>SERVE</x:v>
      </x:c>
      <x:c r="D66" s="18" t="str">
        <x:v>交付</x:v>
      </x:c>
      <x:c r="E66" s="18" t="str">
        <x:v>可交付订单</x:v>
      </x:c>
      <x:c r="F66" s="18" t="str">
        <x:v>已完成菜品</x:v>
      </x:c>
      <x:c r="G66" s="18" t="str">
        <x:v>完成装盘→暂存/交接→按订单交付</x:v>
      </x:c>
      <x:c r="H66" s="18" t="str">
        <x:v>出餐点</x:v>
      </x:c>
      <x:c r="I66" s="18" t="str">
        <x:v>餐盘</x:v>
      </x:c>
      <x:c r="J66" s="18" t="str">
        <x:v>FINAL</x:v>
      </x:c>
    </x:row>
    <x:row r="67" ht="64" customHeight="1">
      <x:c r="A67" s="18" t="str">
        <x:v>F16</x:v>
      </x:c>
      <x:c r="B67" s="18" t="str">
        <x:v>洋葱芥末热狗</x:v>
      </x:c>
      <x:c r="C67" s="18" t="str">
        <x:v>P27</x:v>
      </x:c>
      <x:c r="D67" s="18" t="str">
        <x:v>准备</x:v>
      </x:c>
      <x:c r="E67" s="18" t="str">
        <x:v>熟香肠</x:v>
      </x:c>
      <x:c r="F67" s="18" t="str">
        <x:v>生香肠×1</x:v>
      </x:c>
      <x:c r="G67" s="18" t="str">
        <x:v>生香肠→煎熟</x:v>
      </x:c>
      <x:c r="H67" s="18" t="str">
        <x:v>煎台</x:v>
      </x:c>
      <x:c r="I67" s="18" t="str">
        <x:v>备料盘</x:v>
      </x:c>
      <x:c r="J67" s="18" t="str">
        <x:v>供货：生香肠</x:v>
      </x:c>
    </x:row>
    <x:row r="68" ht="64" customHeight="1">
      <x:c r="A68" s="18" t="str">
        <x:v>F16</x:v>
      </x:c>
      <x:c r="B68" s="18" t="str">
        <x:v>洋葱芥末热狗</x:v>
      </x:c>
      <x:c r="C68" s="18" t="str">
        <x:v>P04</x:v>
      </x:c>
      <x:c r="D68" s="18" t="str">
        <x:v>准备</x:v>
      </x:c>
      <x:c r="E68" s="18" t="str">
        <x:v>洋葱块</x:v>
      </x:c>
      <x:c r="F68" s="18" t="str">
        <x:v>洋葱×1</x:v>
      </x:c>
      <x:c r="G68" s="18" t="str">
        <x:v>洋葱→切配→洋葱块</x:v>
      </x:c>
      <x:c r="H68" s="18" t="str">
        <x:v>切配台</x:v>
      </x:c>
      <x:c r="I68" s="18" t="str">
        <x:v>备料盒</x:v>
      </x:c>
      <x:c r="J68" s="18" t="str">
        <x:v>供货：洋葱</x:v>
      </x:c>
    </x:row>
    <x:row r="69" ht="64" customHeight="1">
      <x:c r="A69" s="18" t="str">
        <x:v>F16</x:v>
      </x:c>
      <x:c r="B69" s="18" t="str">
        <x:v>洋葱芥末热狗</x:v>
      </x:c>
      <x:c r="C69" s="18" t="str">
        <x:v>FINAL</x:v>
      </x:c>
      <x:c r="D69" s="18" t="str">
        <x:v>成品</x:v>
      </x:c>
      <x:c r="E69" s="18" t="str">
        <x:v>黄酱、洋葱热狗</x:v>
      </x:c>
      <x:c r="F69" s="18" t="str">
        <x:v>热狗面包×1 + 熟香肠×1 + 洋葱块×1 + 芥末酱×1</x:v>
      </x:c>
      <x:c r="G69" s="18" t="str">
        <x:v>熟香肠入面包→加洋葱和芥末酱</x:v>
      </x:c>
      <x:c r="H69" s="18" t="str">
        <x:v>组装台</x:v>
      </x:c>
      <x:c r="I69" s="18" t="str">
        <x:v>餐盘</x:v>
      </x:c>
      <x:c r="J69" s="18" t="str">
        <x:v>供货：热狗面包；P27 熟香肠；P04 洋葱块；供货：芥末酱</x:v>
      </x:c>
    </x:row>
    <x:row r="70" ht="64" customHeight="1">
      <x:c r="A70" s="18" t="str">
        <x:v>F16</x:v>
      </x:c>
      <x:c r="B70" s="18" t="str">
        <x:v>洋葱芥末热狗</x:v>
      </x:c>
      <x:c r="C70" s="18" t="str">
        <x:v>SERVE</x:v>
      </x:c>
      <x:c r="D70" s="18" t="str">
        <x:v>交付</x:v>
      </x:c>
      <x:c r="E70" s="18" t="str">
        <x:v>可交付订单</x:v>
      </x:c>
      <x:c r="F70" s="18" t="str">
        <x:v>已完成菜品</x:v>
      </x:c>
      <x:c r="G70" s="18" t="str">
        <x:v>完成装盘→暂存/交接→按订单交付</x:v>
      </x:c>
      <x:c r="H70" s="18" t="str">
        <x:v>出餐点</x:v>
      </x:c>
      <x:c r="I70" s="18" t="str">
        <x:v>餐盘</x:v>
      </x:c>
      <x:c r="J70" s="18" t="str">
        <x:v>FINAL</x:v>
      </x:c>
    </x:row>
    <x:row r="71" ht="64" customHeight="1">
      <x:c r="A71" s="18" t="str">
        <x:v>F17</x:v>
      </x:c>
      <x:c r="B71" s="18" t="str">
        <x:v>芝士披萨</x:v>
      </x:c>
      <x:c r="C71" s="18" t="str">
        <x:v>FINAL</x:v>
      </x:c>
      <x:c r="D71" s="18" t="str">
        <x:v>成品</x:v>
      </x:c>
      <x:c r="E71" s="18" t="str">
        <x:v>一份圆形芝士披萨</x:v>
      </x:c>
      <x:c r="F71" s="18" t="str">
        <x:v>披萨面团×1 + 番茄酱×1 + 芝士片×1</x:v>
      </x:c>
      <x:c r="G71" s="18" t="str">
        <x:v>面团一次铺成饼底→加番茄酱和芝士→入烤箱→装盘</x:v>
      </x:c>
      <x:c r="H71" s="18" t="str">
        <x:v>组装台、烤箱</x:v>
      </x:c>
      <x:c r="I71" s="18" t="str">
        <x:v>披萨盘</x:v>
      </x:c>
      <x:c r="J71" s="18" t="str">
        <x:v>供货：披萨面团；供货：番茄酱；供货：芝士片</x:v>
      </x:c>
    </x:row>
    <x:row r="72" ht="64" customHeight="1">
      <x:c r="A72" s="18" t="str">
        <x:v>F17</x:v>
      </x:c>
      <x:c r="B72" s="18" t="str">
        <x:v>芝士披萨</x:v>
      </x:c>
      <x:c r="C72" s="18" t="str">
        <x:v>SERVE</x:v>
      </x:c>
      <x:c r="D72" s="18" t="str">
        <x:v>交付</x:v>
      </x:c>
      <x:c r="E72" s="18" t="str">
        <x:v>可交付订单</x:v>
      </x:c>
      <x:c r="F72" s="18" t="str">
        <x:v>已完成菜品</x:v>
      </x:c>
      <x:c r="G72" s="18" t="str">
        <x:v>完成装盘→暂存/交接→按订单交付</x:v>
      </x:c>
      <x:c r="H72" s="18" t="str">
        <x:v>出餐点</x:v>
      </x:c>
      <x:c r="I72" s="18" t="str">
        <x:v>披萨盘</x:v>
      </x:c>
      <x:c r="J72" s="18" t="str">
        <x:v>FINAL</x:v>
      </x:c>
    </x:row>
    <x:row r="73" ht="64" customHeight="1">
      <x:c r="A73" s="18" t="str">
        <x:v>F18</x:v>
      </x:c>
      <x:c r="B73" s="18" t="str">
        <x:v>蘑菇披萨</x:v>
      </x:c>
      <x:c r="C73" s="18" t="str">
        <x:v>P05</x:v>
      </x:c>
      <x:c r="D73" s="18" t="str">
        <x:v>准备</x:v>
      </x:c>
      <x:c r="E73" s="18" t="str">
        <x:v>蘑菇片</x:v>
      </x:c>
      <x:c r="F73" s="18" t="str">
        <x:v>蘑菇×1</x:v>
      </x:c>
      <x:c r="G73" s="18" t="str">
        <x:v>蘑菇→切配→蘑菇片</x:v>
      </x:c>
      <x:c r="H73" s="18" t="str">
        <x:v>切配台</x:v>
      </x:c>
      <x:c r="I73" s="18" t="str">
        <x:v>备料盒</x:v>
      </x:c>
      <x:c r="J73" s="18" t="str">
        <x:v>供货：蘑菇</x:v>
      </x:c>
    </x:row>
    <x:row r="74" ht="64" customHeight="1">
      <x:c r="A74" s="18" t="str">
        <x:v>F18</x:v>
      </x:c>
      <x:c r="B74" s="18" t="str">
        <x:v>蘑菇披萨</x:v>
      </x:c>
      <x:c r="C74" s="18" t="str">
        <x:v>FINAL</x:v>
      </x:c>
      <x:c r="D74" s="18" t="str">
        <x:v>成品</x:v>
      </x:c>
      <x:c r="E74" s="18" t="str">
        <x:v>蘑菇披萨</x:v>
      </x:c>
      <x:c r="F74" s="18" t="str">
        <x:v>披萨面团×1 + 番茄酱×1 + 芝士片×1 + 蘑菇片×1</x:v>
      </x:c>
      <x:c r="G74" s="18" t="str">
        <x:v>饼底+酱+芝士+蘑菇→烤制→装盘</x:v>
      </x:c>
      <x:c r="H74" s="18" t="str">
        <x:v>组装台、烤箱</x:v>
      </x:c>
      <x:c r="I74" s="18" t="str">
        <x:v>披萨盘</x:v>
      </x:c>
      <x:c r="J74" s="18" t="str">
        <x:v>供货：披萨面团；供货：番茄酱；供货：芝士片；P05 蘑菇片</x:v>
      </x:c>
    </x:row>
    <x:row r="75" ht="64" customHeight="1">
      <x:c r="A75" s="18" t="str">
        <x:v>F18</x:v>
      </x:c>
      <x:c r="B75" s="18" t="str">
        <x:v>蘑菇披萨</x:v>
      </x:c>
      <x:c r="C75" s="18" t="str">
        <x:v>SERVE</x:v>
      </x:c>
      <x:c r="D75" s="18" t="str">
        <x:v>交付</x:v>
      </x:c>
      <x:c r="E75" s="18" t="str">
        <x:v>可交付订单</x:v>
      </x:c>
      <x:c r="F75" s="18" t="str">
        <x:v>已完成菜品</x:v>
      </x:c>
      <x:c r="G75" s="18" t="str">
        <x:v>完成装盘→暂存/交接→按订单交付</x:v>
      </x:c>
      <x:c r="H75" s="18" t="str">
        <x:v>出餐点</x:v>
      </x:c>
      <x:c r="I75" s="18" t="str">
        <x:v>披萨盘</x:v>
      </x:c>
      <x:c r="J75" s="18" t="str">
        <x:v>FINAL</x:v>
      </x:c>
    </x:row>
    <x:row r="76" ht="64" customHeight="1">
      <x:c r="A76" s="18" t="str">
        <x:v>F19</x:v>
      </x:c>
      <x:c r="B76" s="18" t="str">
        <x:v>意式腊肠披萨</x:v>
      </x:c>
      <x:c r="C76" s="18" t="str">
        <x:v>FINAL</x:v>
      </x:c>
      <x:c r="D76" s="18" t="str">
        <x:v>成品</x:v>
      </x:c>
      <x:c r="E76" s="18" t="str">
        <x:v>腊肠片披萨</x:v>
      </x:c>
      <x:c r="F76" s="18" t="str">
        <x:v>披萨面团×1 + 番茄酱×1 + 芝士片×1 + 意式腊肠片×1</x:v>
      </x:c>
      <x:c r="G76" s="18" t="str">
        <x:v>饼底+酱+芝士+腊肠片→烤制→装盘</x:v>
      </x:c>
      <x:c r="H76" s="18" t="str">
        <x:v>组装台、烤箱</x:v>
      </x:c>
      <x:c r="I76" s="18" t="str">
        <x:v>披萨盘</x:v>
      </x:c>
      <x:c r="J76" s="18" t="str">
        <x:v>供货：披萨面团；供货：番茄酱；供货：芝士片；供货：意式腊肠片</x:v>
      </x:c>
    </x:row>
    <x:row r="77" ht="64" customHeight="1">
      <x:c r="A77" s="18" t="str">
        <x:v>F19</x:v>
      </x:c>
      <x:c r="B77" s="18" t="str">
        <x:v>意式腊肠披萨</x:v>
      </x:c>
      <x:c r="C77" s="18" t="str">
        <x:v>SERVE</x:v>
      </x:c>
      <x:c r="D77" s="18" t="str">
        <x:v>交付</x:v>
      </x:c>
      <x:c r="E77" s="18" t="str">
        <x:v>可交付订单</x:v>
      </x:c>
      <x:c r="F77" s="18" t="str">
        <x:v>已完成菜品</x:v>
      </x:c>
      <x:c r="G77" s="18" t="str">
        <x:v>完成装盘→暂存/交接→按订单交付</x:v>
      </x:c>
      <x:c r="H77" s="18" t="str">
        <x:v>出餐点</x:v>
      </x:c>
      <x:c r="I77" s="18" t="str">
        <x:v>披萨盘</x:v>
      </x:c>
      <x:c r="J77" s="18" t="str">
        <x:v>FINAL</x:v>
      </x:c>
    </x:row>
    <x:row r="78" ht="64" customHeight="1">
      <x:c r="A78" s="18" t="str">
        <x:v>F20</x:v>
      </x:c>
      <x:c r="B78" s="18" t="str">
        <x:v>鸡肉蘑菇披萨</x:v>
      </x:c>
      <x:c r="C78" s="18" t="str">
        <x:v>P16</x:v>
      </x:c>
      <x:c r="D78" s="18" t="str">
        <x:v>准备</x:v>
      </x:c>
      <x:c r="E78" s="18" t="str">
        <x:v>鸡肉切配件</x:v>
      </x:c>
      <x:c r="F78" s="18" t="str">
        <x:v>鸡肉块×1</x:v>
      </x:c>
      <x:c r="G78" s="18" t="str">
        <x:v>鸡肉块→切配→鸡肉切配件</x:v>
      </x:c>
      <x:c r="H78" s="18" t="str">
        <x:v>切配台</x:v>
      </x:c>
      <x:c r="I78" s="18" t="str">
        <x:v>备料盒</x:v>
      </x:c>
      <x:c r="J78" s="18" t="str">
        <x:v>供货：鸡肉块</x:v>
      </x:c>
    </x:row>
    <x:row r="79" ht="64" customHeight="1">
      <x:c r="A79" s="18" t="str">
        <x:v>F20</x:v>
      </x:c>
      <x:c r="B79" s="18" t="str">
        <x:v>鸡肉蘑菇披萨</x:v>
      </x:c>
      <x:c r="C79" s="18" t="str">
        <x:v>P22</x:v>
      </x:c>
      <x:c r="D79" s="18" t="str">
        <x:v>准备</x:v>
      </x:c>
      <x:c r="E79" s="18" t="str">
        <x:v>熟鸡肉</x:v>
      </x:c>
      <x:c r="F79" s="18" t="str">
        <x:v>鸡肉切配件×1</x:v>
      </x:c>
      <x:c r="G79" s="18" t="str">
        <x:v>鸡肉切配件→煎熟</x:v>
      </x:c>
      <x:c r="H79" s="18" t="str">
        <x:v>煎台</x:v>
      </x:c>
      <x:c r="I79" s="18" t="str">
        <x:v>备料盘</x:v>
      </x:c>
      <x:c r="J79" s="18" t="str">
        <x:v>P16 鸡肉切配件</x:v>
      </x:c>
    </x:row>
    <x:row r="80" ht="64" customHeight="1">
      <x:c r="A80" s="18" t="str">
        <x:v>F20</x:v>
      </x:c>
      <x:c r="B80" s="18" t="str">
        <x:v>鸡肉蘑菇披萨</x:v>
      </x:c>
      <x:c r="C80" s="18" t="str">
        <x:v>P05</x:v>
      </x:c>
      <x:c r="D80" s="18" t="str">
        <x:v>准备</x:v>
      </x:c>
      <x:c r="E80" s="18" t="str">
        <x:v>蘑菇片</x:v>
      </x:c>
      <x:c r="F80" s="18" t="str">
        <x:v>蘑菇×1</x:v>
      </x:c>
      <x:c r="G80" s="18" t="str">
        <x:v>蘑菇→切配→蘑菇片</x:v>
      </x:c>
      <x:c r="H80" s="18" t="str">
        <x:v>切配台</x:v>
      </x:c>
      <x:c r="I80" s="18" t="str">
        <x:v>备料盒</x:v>
      </x:c>
      <x:c r="J80" s="18" t="str">
        <x:v>供货：蘑菇</x:v>
      </x:c>
    </x:row>
    <x:row r="81" ht="64" customHeight="1">
      <x:c r="A81" s="18" t="str">
        <x:v>F20</x:v>
      </x:c>
      <x:c r="B81" s="18" t="str">
        <x:v>鸡肉蘑菇披萨</x:v>
      </x:c>
      <x:c r="C81" s="18" t="str">
        <x:v>FINAL</x:v>
      </x:c>
      <x:c r="D81" s="18" t="str">
        <x:v>成品</x:v>
      </x:c>
      <x:c r="E81" s="18" t="str">
        <x:v>鸡肉蘑菇披萨</x:v>
      </x:c>
      <x:c r="F81" s="18" t="str">
        <x:v>披萨面团×1 + 番茄酱×1 + 芝士片×1 + 熟鸡肉×1 + 蘑菇片×1</x:v>
      </x:c>
      <x:c r="G81" s="18" t="str">
        <x:v>饼底加入酱、芝士、熟鸡肉、蘑菇→烤制</x:v>
      </x:c>
      <x:c r="H81" s="18" t="str">
        <x:v>组装台、烤箱</x:v>
      </x:c>
      <x:c r="I81" s="18" t="str">
        <x:v>披萨盘</x:v>
      </x:c>
      <x:c r="J81" s="18" t="str">
        <x:v>供货：披萨面团；供货：番茄酱；供货：芝士片；P22 熟鸡肉；P05 蘑菇片</x:v>
      </x:c>
    </x:row>
    <x:row r="82" ht="64" customHeight="1">
      <x:c r="A82" s="18" t="str">
        <x:v>F20</x:v>
      </x:c>
      <x:c r="B82" s="18" t="str">
        <x:v>鸡肉蘑菇披萨</x:v>
      </x:c>
      <x:c r="C82" s="18" t="str">
        <x:v>SERVE</x:v>
      </x:c>
      <x:c r="D82" s="18" t="str">
        <x:v>交付</x:v>
      </x:c>
      <x:c r="E82" s="18" t="str">
        <x:v>可交付订单</x:v>
      </x:c>
      <x:c r="F82" s="18" t="str">
        <x:v>已完成菜品</x:v>
      </x:c>
      <x:c r="G82" s="18" t="str">
        <x:v>完成装盘→暂存/交接→按订单交付</x:v>
      </x:c>
      <x:c r="H82" s="18" t="str">
        <x:v>出餐点</x:v>
      </x:c>
      <x:c r="I82" s="18" t="str">
        <x:v>披萨盘</x:v>
      </x:c>
      <x:c r="J82" s="18" t="str">
        <x:v>FINAL</x:v>
      </x:c>
    </x:row>
    <x:row r="83" ht="64" customHeight="1">
      <x:c r="A83" s="18" t="str">
        <x:v>F21</x:v>
      </x:c>
      <x:c r="B83" s="18" t="str">
        <x:v>番茄意面</x:v>
      </x:c>
      <x:c r="C83" s="18" t="str">
        <x:v>P20</x:v>
      </x:c>
      <x:c r="D83" s="18" t="str">
        <x:v>准备</x:v>
      </x:c>
      <x:c r="E83" s="18" t="str">
        <x:v>熟意面</x:v>
      </x:c>
      <x:c r="F83" s="18" t="str">
        <x:v>干意面×1</x:v>
      </x:c>
      <x:c r="G83" s="18" t="str">
        <x:v>干意面入锅→煮熟→按份取用</x:v>
      </x:c>
      <x:c r="H83" s="18" t="str">
        <x:v>煮锅</x:v>
      </x:c>
      <x:c r="I83" s="18" t="str">
        <x:v>煮锅/备料盆</x:v>
      </x:c>
      <x:c r="J83" s="18" t="str">
        <x:v>供货：干意面</x:v>
      </x:c>
    </x:row>
    <x:row r="84" ht="64" customHeight="1">
      <x:c r="A84" s="18" t="str">
        <x:v>F21</x:v>
      </x:c>
      <x:c r="B84" s="18" t="str">
        <x:v>番茄意面</x:v>
      </x:c>
      <x:c r="C84" s="18" t="str">
        <x:v>P02</x:v>
      </x:c>
      <x:c r="D84" s="18" t="str">
        <x:v>准备</x:v>
      </x:c>
      <x:c r="E84" s="18" t="str">
        <x:v>番茄块</x:v>
      </x:c>
      <x:c r="F84" s="18" t="str">
        <x:v>番茄×1</x:v>
      </x:c>
      <x:c r="G84" s="18" t="str">
        <x:v>番茄→切配→番茄块</x:v>
      </x:c>
      <x:c r="H84" s="18" t="str">
        <x:v>切配台</x:v>
      </x:c>
      <x:c r="I84" s="18" t="str">
        <x:v>备料盒</x:v>
      </x:c>
      <x:c r="J84" s="18" t="str">
        <x:v>供货：番茄</x:v>
      </x:c>
    </x:row>
    <x:row r="85" ht="64" customHeight="1">
      <x:c r="A85" s="18" t="str">
        <x:v>F21</x:v>
      </x:c>
      <x:c r="B85" s="18" t="str">
        <x:v>番茄意面</x:v>
      </x:c>
      <x:c r="C85" s="18" t="str">
        <x:v>P35</x:v>
      </x:c>
      <x:c r="D85" s="18" t="str">
        <x:v>准备</x:v>
      </x:c>
      <x:c r="E85" s="18" t="str">
        <x:v>番茄热酱</x:v>
      </x:c>
      <x:c r="F85" s="18" t="str">
        <x:v>番茄块×1</x:v>
      </x:c>
      <x:c r="G85" s="18" t="str">
        <x:v>番茄块入锅→熬成热酱；与供应的番茄酱是不同物件</x:v>
      </x:c>
      <x:c r="H85" s="18" t="str">
        <x:v>煮锅</x:v>
      </x:c>
      <x:c r="I85" s="18" t="str">
        <x:v>煮锅/酱料盆</x:v>
      </x:c>
      <x:c r="J85" s="18" t="str">
        <x:v>P02 番茄块</x:v>
      </x:c>
    </x:row>
    <x:row r="86" ht="64" customHeight="1">
      <x:c r="A86" s="18" t="str">
        <x:v>F21</x:v>
      </x:c>
      <x:c r="B86" s="18" t="str">
        <x:v>番茄意面</x:v>
      </x:c>
      <x:c r="C86" s="18" t="str">
        <x:v>FINAL</x:v>
      </x:c>
      <x:c r="D86" s="18" t="str">
        <x:v>成品</x:v>
      </x:c>
      <x:c r="E86" s="18" t="str">
        <x:v>红酱意面</x:v>
      </x:c>
      <x:c r="F86" s="18" t="str">
        <x:v>熟意面×1 + 番茄热酱×1</x:v>
      </x:c>
      <x:c r="G86" s="18" t="str">
        <x:v>熟意面与番茄热酱合盘</x:v>
      </x:c>
      <x:c r="H86" s="18" t="str">
        <x:v>组装台</x:v>
      </x:c>
      <x:c r="I86" s="18" t="str">
        <x:v>餐盘</x:v>
      </x:c>
      <x:c r="J86" s="18" t="str">
        <x:v>P20 熟意面；P35 番茄热酱</x:v>
      </x:c>
    </x:row>
    <x:row r="87" ht="64" customHeight="1">
      <x:c r="A87" s="18" t="str">
        <x:v>F21</x:v>
      </x:c>
      <x:c r="B87" s="18" t="str">
        <x:v>番茄意面</x:v>
      </x:c>
      <x:c r="C87" s="18" t="str">
        <x:v>SERVE</x:v>
      </x:c>
      <x:c r="D87" s="18" t="str">
        <x:v>交付</x:v>
      </x:c>
      <x:c r="E87" s="18" t="str">
        <x:v>可交付订单</x:v>
      </x:c>
      <x:c r="F87" s="18" t="str">
        <x:v>已完成菜品</x:v>
      </x:c>
      <x:c r="G87" s="18" t="str">
        <x:v>完成装盘→暂存/交接→按订单交付</x:v>
      </x:c>
      <x:c r="H87" s="18" t="str">
        <x:v>出餐点</x:v>
      </x:c>
      <x:c r="I87" s="18" t="str">
        <x:v>餐盘</x:v>
      </x:c>
      <x:c r="J87" s="18" t="str">
        <x:v>FINAL</x:v>
      </x:c>
    </x:row>
    <x:row r="88" ht="64" customHeight="1">
      <x:c r="A88" s="18" t="str">
        <x:v>F22</x:v>
      </x:c>
      <x:c r="B88" s="18" t="str">
        <x:v>牛肉肉酱意面</x:v>
      </x:c>
      <x:c r="C88" s="18" t="str">
        <x:v>P20</x:v>
      </x:c>
      <x:c r="D88" s="18" t="str">
        <x:v>准备</x:v>
      </x:c>
      <x:c r="E88" s="18" t="str">
        <x:v>熟意面</x:v>
      </x:c>
      <x:c r="F88" s="18" t="str">
        <x:v>干意面×1</x:v>
      </x:c>
      <x:c r="G88" s="18" t="str">
        <x:v>干意面入锅→煮熟→按份取用</x:v>
      </x:c>
      <x:c r="H88" s="18" t="str">
        <x:v>煮锅</x:v>
      </x:c>
      <x:c r="I88" s="18" t="str">
        <x:v>煮锅/备料盆</x:v>
      </x:c>
      <x:c r="J88" s="18" t="str">
        <x:v>供货：干意面</x:v>
      </x:c>
    </x:row>
    <x:row r="89" ht="64" customHeight="1">
      <x:c r="A89" s="18" t="str">
        <x:v>F22</x:v>
      </x:c>
      <x:c r="B89" s="18" t="str">
        <x:v>牛肉肉酱意面</x:v>
      </x:c>
      <x:c r="C89" s="18" t="str">
        <x:v>P02</x:v>
      </x:c>
      <x:c r="D89" s="18" t="str">
        <x:v>准备</x:v>
      </x:c>
      <x:c r="E89" s="18" t="str">
        <x:v>番茄块</x:v>
      </x:c>
      <x:c r="F89" s="18" t="str">
        <x:v>番茄×1</x:v>
      </x:c>
      <x:c r="G89" s="18" t="str">
        <x:v>番茄→切配→番茄块</x:v>
      </x:c>
      <x:c r="H89" s="18" t="str">
        <x:v>切配台</x:v>
      </x:c>
      <x:c r="I89" s="18" t="str">
        <x:v>备料盒</x:v>
      </x:c>
      <x:c r="J89" s="18" t="str">
        <x:v>供货：番茄</x:v>
      </x:c>
    </x:row>
    <x:row r="90" ht="64" customHeight="1">
      <x:c r="A90" s="18" t="str">
        <x:v>F22</x:v>
      </x:c>
      <x:c r="B90" s="18" t="str">
        <x:v>牛肉肉酱意面</x:v>
      </x:c>
      <x:c r="C90" s="18" t="str">
        <x:v>P36</x:v>
      </x:c>
      <x:c r="D90" s="18" t="str">
        <x:v>准备</x:v>
      </x:c>
      <x:c r="E90" s="18" t="str">
        <x:v>牛肉番茄肉酱</x:v>
      </x:c>
      <x:c r="F90" s="18" t="str">
        <x:v>牛肉末×1 + 番茄块×1</x:v>
      </x:c>
      <x:c r="G90" s="18" t="str">
        <x:v>牛肉末煎熟→加入番茄块→熬成肉酱</x:v>
      </x:c>
      <x:c r="H90" s="18" t="str">
        <x:v>煎台</x:v>
      </x:c>
      <x:c r="I90" s="18" t="str">
        <x:v>平底锅/酱料盆</x:v>
      </x:c>
      <x:c r="J90" s="18" t="str">
        <x:v>供货：牛肉末；P02 番茄块</x:v>
      </x:c>
    </x:row>
    <x:row r="91" ht="64" customHeight="1">
      <x:c r="A91" s="18" t="str">
        <x:v>F22</x:v>
      </x:c>
      <x:c r="B91" s="18" t="str">
        <x:v>牛肉肉酱意面</x:v>
      </x:c>
      <x:c r="C91" s="18" t="str">
        <x:v>FINAL</x:v>
      </x:c>
      <x:c r="D91" s="18" t="str">
        <x:v>成品</x:v>
      </x:c>
      <x:c r="E91" s="18" t="str">
        <x:v>可见肉末红酱意面</x:v>
      </x:c>
      <x:c r="F91" s="18" t="str">
        <x:v>熟意面×1 + 牛肉番茄肉酱×1</x:v>
      </x:c>
      <x:c r="G91" s="18" t="str">
        <x:v>熟意面+牛肉番茄肉酱→合盘</x:v>
      </x:c>
      <x:c r="H91" s="18" t="str">
        <x:v>组装台</x:v>
      </x:c>
      <x:c r="I91" s="18" t="str">
        <x:v>餐盘</x:v>
      </x:c>
      <x:c r="J91" s="18" t="str">
        <x:v>P20 熟意面；P36 牛肉番茄肉酱</x:v>
      </x:c>
    </x:row>
    <x:row r="92" ht="64" customHeight="1">
      <x:c r="A92" s="18" t="str">
        <x:v>F22</x:v>
      </x:c>
      <x:c r="B92" s="18" t="str">
        <x:v>牛肉肉酱意面</x:v>
      </x:c>
      <x:c r="C92" s="18" t="str">
        <x:v>SERVE</x:v>
      </x:c>
      <x:c r="D92" s="18" t="str">
        <x:v>交付</x:v>
      </x:c>
      <x:c r="E92" s="18" t="str">
        <x:v>可交付订单</x:v>
      </x:c>
      <x:c r="F92" s="18" t="str">
        <x:v>已完成菜品</x:v>
      </x:c>
      <x:c r="G92" s="18" t="str">
        <x:v>完成装盘→暂存/交接→按订单交付</x:v>
      </x:c>
      <x:c r="H92" s="18" t="str">
        <x:v>出餐点</x:v>
      </x:c>
      <x:c r="I92" s="18" t="str">
        <x:v>餐盘</x:v>
      </x:c>
      <x:c r="J92" s="18" t="str">
        <x:v>FINAL</x:v>
      </x:c>
    </x:row>
    <x:row r="93" ht="64" customHeight="1">
      <x:c r="A93" s="18" t="str">
        <x:v>F23</x:v>
      </x:c>
      <x:c r="B93" s="18" t="str">
        <x:v>奶油蘑菇意面</x:v>
      </x:c>
      <x:c r="C93" s="18" t="str">
        <x:v>P20</x:v>
      </x:c>
      <x:c r="D93" s="18" t="str">
        <x:v>准备</x:v>
      </x:c>
      <x:c r="E93" s="18" t="str">
        <x:v>熟意面</x:v>
      </x:c>
      <x:c r="F93" s="18" t="str">
        <x:v>干意面×1</x:v>
      </x:c>
      <x:c r="G93" s="18" t="str">
        <x:v>干意面入锅→煮熟→按份取用</x:v>
      </x:c>
      <x:c r="H93" s="18" t="str">
        <x:v>煮锅</x:v>
      </x:c>
      <x:c r="I93" s="18" t="str">
        <x:v>煮锅/备料盆</x:v>
      </x:c>
      <x:c r="J93" s="18" t="str">
        <x:v>供货：干意面</x:v>
      </x:c>
    </x:row>
    <x:row r="94" ht="64" customHeight="1">
      <x:c r="A94" s="18" t="str">
        <x:v>F23</x:v>
      </x:c>
      <x:c r="B94" s="18" t="str">
        <x:v>奶油蘑菇意面</x:v>
      </x:c>
      <x:c r="C94" s="18" t="str">
        <x:v>P05</x:v>
      </x:c>
      <x:c r="D94" s="18" t="str">
        <x:v>准备</x:v>
      </x:c>
      <x:c r="E94" s="18" t="str">
        <x:v>蘑菇片</x:v>
      </x:c>
      <x:c r="F94" s="18" t="str">
        <x:v>蘑菇×1</x:v>
      </x:c>
      <x:c r="G94" s="18" t="str">
        <x:v>蘑菇→切配→蘑菇片</x:v>
      </x:c>
      <x:c r="H94" s="18" t="str">
        <x:v>切配台</x:v>
      </x:c>
      <x:c r="I94" s="18" t="str">
        <x:v>备料盒</x:v>
      </x:c>
      <x:c r="J94" s="18" t="str">
        <x:v>供货：蘑菇</x:v>
      </x:c>
    </x:row>
    <x:row r="95" ht="64" customHeight="1">
      <x:c r="A95" s="18" t="str">
        <x:v>F23</x:v>
      </x:c>
      <x:c r="B95" s="18" t="str">
        <x:v>奶油蘑菇意面</x:v>
      </x:c>
      <x:c r="C95" s="18" t="str">
        <x:v>P37</x:v>
      </x:c>
      <x:c r="D95" s="18" t="str">
        <x:v>准备</x:v>
      </x:c>
      <x:c r="E95" s="18" t="str">
        <x:v>奶油蘑菇酱</x:v>
      </x:c>
      <x:c r="F95" s="18" t="str">
        <x:v>蘑菇片×1 + 淡奶油×1</x:v>
      </x:c>
      <x:c r="G95" s="18" t="str">
        <x:v>蘑菇片煎制→加淡奶油→熬成酱</x:v>
      </x:c>
      <x:c r="H95" s="18" t="str">
        <x:v>煎台</x:v>
      </x:c>
      <x:c r="I95" s="18" t="str">
        <x:v>平底锅/酱料盆</x:v>
      </x:c>
      <x:c r="J95" s="18" t="str">
        <x:v>P05 蘑菇片；供货：淡奶油</x:v>
      </x:c>
    </x:row>
    <x:row r="96" ht="64" customHeight="1">
      <x:c r="A96" s="18" t="str">
        <x:v>F23</x:v>
      </x:c>
      <x:c r="B96" s="18" t="str">
        <x:v>奶油蘑菇意面</x:v>
      </x:c>
      <x:c r="C96" s="18" t="str">
        <x:v>FINAL</x:v>
      </x:c>
      <x:c r="D96" s="18" t="str">
        <x:v>成品</x:v>
      </x:c>
      <x:c r="E96" s="18" t="str">
        <x:v>浅色蘑菇意面</x:v>
      </x:c>
      <x:c r="F96" s="18" t="str">
        <x:v>熟意面×1 + 奶油蘑菇酱×1</x:v>
      </x:c>
      <x:c r="G96" s="18" t="str">
        <x:v>熟意面+奶油蘑菇酱→合盘</x:v>
      </x:c>
      <x:c r="H96" s="18" t="str">
        <x:v>组装台</x:v>
      </x:c>
      <x:c r="I96" s="18" t="str">
        <x:v>餐盘</x:v>
      </x:c>
      <x:c r="J96" s="18" t="str">
        <x:v>P20 熟意面；P37 奶油蘑菇酱</x:v>
      </x:c>
    </x:row>
    <x:row r="97" ht="64" customHeight="1">
      <x:c r="A97" s="18" t="str">
        <x:v>F23</x:v>
      </x:c>
      <x:c r="B97" s="18" t="str">
        <x:v>奶油蘑菇意面</x:v>
      </x:c>
      <x:c r="C97" s="18" t="str">
        <x:v>SERVE</x:v>
      </x:c>
      <x:c r="D97" s="18" t="str">
        <x:v>交付</x:v>
      </x:c>
      <x:c r="E97" s="18" t="str">
        <x:v>可交付订单</x:v>
      </x:c>
      <x:c r="F97" s="18" t="str">
        <x:v>已完成菜品</x:v>
      </x:c>
      <x:c r="G97" s="18" t="str">
        <x:v>完成装盘→暂存/交接→按订单交付</x:v>
      </x:c>
      <x:c r="H97" s="18" t="str">
        <x:v>出餐点</x:v>
      </x:c>
      <x:c r="I97" s="18" t="str">
        <x:v>餐盘</x:v>
      </x:c>
      <x:c r="J97" s="18" t="str">
        <x:v>FINAL</x:v>
      </x:c>
    </x:row>
    <x:row r="98" ht="64" customHeight="1">
      <x:c r="A98" s="18" t="str">
        <x:v>F24</x:v>
      </x:c>
      <x:c r="B98" s="18" t="str">
        <x:v>番茄海鲜意面</x:v>
      </x:c>
      <x:c r="C98" s="18" t="str">
        <x:v>P20</x:v>
      </x:c>
      <x:c r="D98" s="18" t="str">
        <x:v>准备</x:v>
      </x:c>
      <x:c r="E98" s="18" t="str">
        <x:v>熟意面</x:v>
      </x:c>
      <x:c r="F98" s="18" t="str">
        <x:v>干意面×1</x:v>
      </x:c>
      <x:c r="G98" s="18" t="str">
        <x:v>干意面入锅→煮熟→按份取用</x:v>
      </x:c>
      <x:c r="H98" s="18" t="str">
        <x:v>煮锅</x:v>
      </x:c>
      <x:c r="I98" s="18" t="str">
        <x:v>煮锅/备料盆</x:v>
      </x:c>
      <x:c r="J98" s="18" t="str">
        <x:v>供货：干意面</x:v>
      </x:c>
    </x:row>
    <x:row r="99" ht="64" customHeight="1">
      <x:c r="A99" s="18" t="str">
        <x:v>F24</x:v>
      </x:c>
      <x:c r="B99" s="18" t="str">
        <x:v>番茄海鲜意面</x:v>
      </x:c>
      <x:c r="C99" s="18" t="str">
        <x:v>P02</x:v>
      </x:c>
      <x:c r="D99" s="18" t="str">
        <x:v>准备</x:v>
      </x:c>
      <x:c r="E99" s="18" t="str">
        <x:v>番茄块</x:v>
      </x:c>
      <x:c r="F99" s="18" t="str">
        <x:v>番茄×1</x:v>
      </x:c>
      <x:c r="G99" s="18" t="str">
        <x:v>番茄→切配→番茄块</x:v>
      </x:c>
      <x:c r="H99" s="18" t="str">
        <x:v>切配台</x:v>
      </x:c>
      <x:c r="I99" s="18" t="str">
        <x:v>备料盒</x:v>
      </x:c>
      <x:c r="J99" s="18" t="str">
        <x:v>供货：番茄</x:v>
      </x:c>
    </x:row>
    <x:row r="100" ht="64" customHeight="1">
      <x:c r="A100" s="18" t="str">
        <x:v>F24</x:v>
      </x:c>
      <x:c r="B100" s="18" t="str">
        <x:v>番茄海鲜意面</x:v>
      </x:c>
      <x:c r="C100" s="18" t="str">
        <x:v>P35</x:v>
      </x:c>
      <x:c r="D100" s="18" t="str">
        <x:v>准备</x:v>
      </x:c>
      <x:c r="E100" s="18" t="str">
        <x:v>番茄热酱</x:v>
      </x:c>
      <x:c r="F100" s="18" t="str">
        <x:v>番茄块×1</x:v>
      </x:c>
      <x:c r="G100" s="18" t="str">
        <x:v>番茄块入锅→熬成热酱；与供应的番茄酱是不同物件</x:v>
      </x:c>
      <x:c r="H100" s="18" t="str">
        <x:v>煮锅</x:v>
      </x:c>
      <x:c r="I100" s="18" t="str">
        <x:v>煮锅/酱料盆</x:v>
      </x:c>
      <x:c r="J100" s="18" t="str">
        <x:v>P02 番茄块</x:v>
      </x:c>
    </x:row>
    <x:row r="101" ht="64" customHeight="1">
      <x:c r="A101" s="18" t="str">
        <x:v>F24</x:v>
      </x:c>
      <x:c r="B101" s="18" t="str">
        <x:v>番茄海鲜意面</x:v>
      </x:c>
      <x:c r="C101" s="18" t="str">
        <x:v>P25</x:v>
      </x:c>
      <x:c r="D101" s="18" t="str">
        <x:v>准备</x:v>
      </x:c>
      <x:c r="E101" s="18" t="str">
        <x:v>熟虾仁</x:v>
      </x:c>
      <x:c r="F101" s="18" t="str">
        <x:v>虾仁×1</x:v>
      </x:c>
      <x:c r="G101" s="18" t="str">
        <x:v>虾仁→煎熟</x:v>
      </x:c>
      <x:c r="H101" s="18" t="str">
        <x:v>煎台</x:v>
      </x:c>
      <x:c r="I101" s="18" t="str">
        <x:v>备料盘</x:v>
      </x:c>
      <x:c r="J101" s="18" t="str">
        <x:v>供货：虾仁</x:v>
      </x:c>
    </x:row>
    <x:row r="102" ht="64" customHeight="1">
      <x:c r="A102" s="18" t="str">
        <x:v>F24</x:v>
      </x:c>
      <x:c r="B102" s="18" t="str">
        <x:v>番茄海鲜意面</x:v>
      </x:c>
      <x:c r="C102" s="18" t="str">
        <x:v>P18</x:v>
      </x:c>
      <x:c r="D102" s="18" t="str">
        <x:v>准备</x:v>
      </x:c>
      <x:c r="E102" s="18" t="str">
        <x:v>白鱼切配件</x:v>
      </x:c>
      <x:c r="F102" s="18" t="str">
        <x:v>白身鱼肉×1</x:v>
      </x:c>
      <x:c r="G102" s="18" t="str">
        <x:v>白身鱼肉→切配→白鱼切配件</x:v>
      </x:c>
      <x:c r="H102" s="18" t="str">
        <x:v>切配台</x:v>
      </x:c>
      <x:c r="I102" s="18" t="str">
        <x:v>备料盒</x:v>
      </x:c>
      <x:c r="J102" s="18" t="str">
        <x:v>供货：白身鱼肉</x:v>
      </x:c>
    </x:row>
    <x:row r="103" ht="64" customHeight="1">
      <x:c r="A103" s="18" t="str">
        <x:v>F24</x:v>
      </x:c>
      <x:c r="B103" s="18" t="str">
        <x:v>番茄海鲜意面</x:v>
      </x:c>
      <x:c r="C103" s="18" t="str">
        <x:v>P26</x:v>
      </x:c>
      <x:c r="D103" s="18" t="str">
        <x:v>准备</x:v>
      </x:c>
      <x:c r="E103" s="18" t="str">
        <x:v>熟白鱼</x:v>
      </x:c>
      <x:c r="F103" s="18" t="str">
        <x:v>白鱼切配件×1</x:v>
      </x:c>
      <x:c r="G103" s="18" t="str">
        <x:v>白鱼切配件→煎熟</x:v>
      </x:c>
      <x:c r="H103" s="18" t="str">
        <x:v>煎台</x:v>
      </x:c>
      <x:c r="I103" s="18" t="str">
        <x:v>备料盘</x:v>
      </x:c>
      <x:c r="J103" s="18" t="str">
        <x:v>P18 白鱼切配件</x:v>
      </x:c>
    </x:row>
    <x:row r="104" ht="64" customHeight="1">
      <x:c r="A104" s="18" t="str">
        <x:v>F24</x:v>
      </x:c>
      <x:c r="B104" s="18" t="str">
        <x:v>番茄海鲜意面</x:v>
      </x:c>
      <x:c r="C104" s="18" t="str">
        <x:v>FINAL</x:v>
      </x:c>
      <x:c r="D104" s="18" t="str">
        <x:v>成品</x:v>
      </x:c>
      <x:c r="E104" s="18" t="str">
        <x:v>鱼虾红酱意面</x:v>
      </x:c>
      <x:c r="F104" s="18" t="str">
        <x:v>熟意面×1 + 番茄热酱×1 + 熟虾仁×1 + 熟白鱼×1</x:v>
      </x:c>
      <x:c r="G104" s="18" t="str">
        <x:v>面、热酱、熟虾和熟鱼→合盘</x:v>
      </x:c>
      <x:c r="H104" s="18" t="str">
        <x:v>组装台</x:v>
      </x:c>
      <x:c r="I104" s="18" t="str">
        <x:v>餐盘</x:v>
      </x:c>
      <x:c r="J104" s="18" t="str">
        <x:v>P20 熟意面；P35 番茄热酱；P25 熟虾仁；P26 熟白鱼</x:v>
      </x:c>
    </x:row>
    <x:row r="105" ht="64" customHeight="1">
      <x:c r="A105" s="18" t="str">
        <x:v>F24</x:v>
      </x:c>
      <x:c r="B105" s="18" t="str">
        <x:v>番茄海鲜意面</x:v>
      </x:c>
      <x:c r="C105" s="18" t="str">
        <x:v>SERVE</x:v>
      </x:c>
      <x:c r="D105" s="18" t="str">
        <x:v>交付</x:v>
      </x:c>
      <x:c r="E105" s="18" t="str">
        <x:v>可交付订单</x:v>
      </x:c>
      <x:c r="F105" s="18" t="str">
        <x:v>已完成菜品</x:v>
      </x:c>
      <x:c r="G105" s="18" t="str">
        <x:v>完成装盘→暂存/交接→按订单交付</x:v>
      </x:c>
      <x:c r="H105" s="18" t="str">
        <x:v>出餐点</x:v>
      </x:c>
      <x:c r="I105" s="18" t="str">
        <x:v>餐盘</x:v>
      </x:c>
      <x:c r="J105" s="18" t="str">
        <x:v>FINAL</x:v>
      </x:c>
    </x:row>
    <x:row r="106" ht="64" customHeight="1">
      <x:c r="A106" s="18" t="str">
        <x:v>F25</x:v>
      </x:c>
      <x:c r="B106" s="18" t="str">
        <x:v>牛肉卷饼</x:v>
      </x:c>
      <x:c r="C106" s="18" t="str">
        <x:v>P19</x:v>
      </x:c>
      <x:c r="D106" s="18" t="str">
        <x:v>准备</x:v>
      </x:c>
      <x:c r="E106" s="18" t="str">
        <x:v>米饭</x:v>
      </x:c>
      <x:c r="F106" s="18" t="str">
        <x:v>米×1</x:v>
      </x:c>
      <x:c r="G106" s="18" t="str">
        <x:v>米入锅→煮熟→可按份取用</x:v>
      </x:c>
      <x:c r="H106" s="18" t="str">
        <x:v>煮锅</x:v>
      </x:c>
      <x:c r="I106" s="18" t="str">
        <x:v>煮锅/饭桶</x:v>
      </x:c>
      <x:c r="J106" s="18" t="str">
        <x:v>供货：米</x:v>
      </x:c>
    </x:row>
    <x:row r="107" ht="64" customHeight="1">
      <x:c r="A107" s="18" t="str">
        <x:v>F25</x:v>
      </x:c>
      <x:c r="B107" s="18" t="str">
        <x:v>牛肉卷饼</x:v>
      </x:c>
      <x:c r="C107" s="18" t="str">
        <x:v>P15</x:v>
      </x:c>
      <x:c r="D107" s="18" t="str">
        <x:v>准备</x:v>
      </x:c>
      <x:c r="E107" s="18" t="str">
        <x:v>牛肉切配件</x:v>
      </x:c>
      <x:c r="F107" s="18" t="str">
        <x:v>牛肉块×1</x:v>
      </x:c>
      <x:c r="G107" s="18" t="str">
        <x:v>牛肉块→切配→牛肉切配件</x:v>
      </x:c>
      <x:c r="H107" s="18" t="str">
        <x:v>切配台</x:v>
      </x:c>
      <x:c r="I107" s="18" t="str">
        <x:v>备料盒</x:v>
      </x:c>
      <x:c r="J107" s="18" t="str">
        <x:v>供货：牛肉块</x:v>
      </x:c>
    </x:row>
    <x:row r="108" ht="64" customHeight="1">
      <x:c r="A108" s="18" t="str">
        <x:v>F25</x:v>
      </x:c>
      <x:c r="B108" s="18" t="str">
        <x:v>牛肉卷饼</x:v>
      </x:c>
      <x:c r="C108" s="18" t="str">
        <x:v>P23</x:v>
      </x:c>
      <x:c r="D108" s="18" t="str">
        <x:v>准备</x:v>
      </x:c>
      <x:c r="E108" s="18" t="str">
        <x:v>熟牛肉</x:v>
      </x:c>
      <x:c r="F108" s="18" t="str">
        <x:v>牛肉切配件×1</x:v>
      </x:c>
      <x:c r="G108" s="18" t="str">
        <x:v>牛肉切配件→煎熟</x:v>
      </x:c>
      <x:c r="H108" s="18" t="str">
        <x:v>煎台</x:v>
      </x:c>
      <x:c r="I108" s="18" t="str">
        <x:v>备料盘</x:v>
      </x:c>
      <x:c r="J108" s="18" t="str">
        <x:v>P15 牛肉切配件</x:v>
      </x:c>
    </x:row>
    <x:row r="109" ht="64" customHeight="1">
      <x:c r="A109" s="18" t="str">
        <x:v>F25</x:v>
      </x:c>
      <x:c r="B109" s="18" t="str">
        <x:v>牛肉卷饼</x:v>
      </x:c>
      <x:c r="C109" s="18" t="str">
        <x:v>FINAL</x:v>
      </x:c>
      <x:c r="D109" s="18" t="str">
        <x:v>成品</x:v>
      </x:c>
      <x:c r="E109" s="18" t="str">
        <x:v>牛肉米饭卷饼</x:v>
      </x:c>
      <x:c r="F109" s="18" t="str">
        <x:v>卷饼皮×1 + 米饭×1 + 熟牛肉×1</x:v>
      </x:c>
      <x:c r="G109" s="18" t="str">
        <x:v>饼皮+熟饭+熟牛肉→一次包卷→装盘</x:v>
      </x:c>
      <x:c r="H109" s="18" t="str">
        <x:v>组装台</x:v>
      </x:c>
      <x:c r="I109" s="18" t="str">
        <x:v>餐盘</x:v>
      </x:c>
      <x:c r="J109" s="18" t="str">
        <x:v>供货：卷饼皮；P19 米饭；P23 熟牛肉</x:v>
      </x:c>
    </x:row>
    <x:row r="110" ht="64" customHeight="1">
      <x:c r="A110" s="18" t="str">
        <x:v>F25</x:v>
      </x:c>
      <x:c r="B110" s="18" t="str">
        <x:v>牛肉卷饼</x:v>
      </x:c>
      <x:c r="C110" s="18" t="str">
        <x:v>SERVE</x:v>
      </x:c>
      <x:c r="D110" s="18" t="str">
        <x:v>交付</x:v>
      </x:c>
      <x:c r="E110" s="18" t="str">
        <x:v>可交付订单</x:v>
      </x:c>
      <x:c r="F110" s="18" t="str">
        <x:v>已完成菜品</x:v>
      </x:c>
      <x:c r="G110" s="18" t="str">
        <x:v>完成装盘→暂存/交接→按订单交付</x:v>
      </x:c>
      <x:c r="H110" s="18" t="str">
        <x:v>出餐点</x:v>
      </x:c>
      <x:c r="I110" s="18" t="str">
        <x:v>餐盘</x:v>
      </x:c>
      <x:c r="J110" s="18" t="str">
        <x:v>FINAL</x:v>
      </x:c>
    </x:row>
    <x:row r="111" ht="64" customHeight="1">
      <x:c r="A111" s="18" t="str">
        <x:v>F26</x:v>
      </x:c>
      <x:c r="B111" s="18" t="str">
        <x:v>鸡肉卷饼</x:v>
      </x:c>
      <x:c r="C111" s="18" t="str">
        <x:v>P19</x:v>
      </x:c>
      <x:c r="D111" s="18" t="str">
        <x:v>准备</x:v>
      </x:c>
      <x:c r="E111" s="18" t="str">
        <x:v>米饭</x:v>
      </x:c>
      <x:c r="F111" s="18" t="str">
        <x:v>米×1</x:v>
      </x:c>
      <x:c r="G111" s="18" t="str">
        <x:v>米入锅→煮熟→可按份取用</x:v>
      </x:c>
      <x:c r="H111" s="18" t="str">
        <x:v>煮锅</x:v>
      </x:c>
      <x:c r="I111" s="18" t="str">
        <x:v>煮锅/饭桶</x:v>
      </x:c>
      <x:c r="J111" s="18" t="str">
        <x:v>供货：米</x:v>
      </x:c>
    </x:row>
    <x:row r="112" ht="64" customHeight="1">
      <x:c r="A112" s="18" t="str">
        <x:v>F26</x:v>
      </x:c>
      <x:c r="B112" s="18" t="str">
        <x:v>鸡肉卷饼</x:v>
      </x:c>
      <x:c r="C112" s="18" t="str">
        <x:v>P16</x:v>
      </x:c>
      <x:c r="D112" s="18" t="str">
        <x:v>准备</x:v>
      </x:c>
      <x:c r="E112" s="18" t="str">
        <x:v>鸡肉切配件</x:v>
      </x:c>
      <x:c r="F112" s="18" t="str">
        <x:v>鸡肉块×1</x:v>
      </x:c>
      <x:c r="G112" s="18" t="str">
        <x:v>鸡肉块→切配→鸡肉切配件</x:v>
      </x:c>
      <x:c r="H112" s="18" t="str">
        <x:v>切配台</x:v>
      </x:c>
      <x:c r="I112" s="18" t="str">
        <x:v>备料盒</x:v>
      </x:c>
      <x:c r="J112" s="18" t="str">
        <x:v>供货：鸡肉块</x:v>
      </x:c>
    </x:row>
    <x:row r="113" ht="64" customHeight="1">
      <x:c r="A113" s="18" t="str">
        <x:v>F26</x:v>
      </x:c>
      <x:c r="B113" s="18" t="str">
        <x:v>鸡肉卷饼</x:v>
      </x:c>
      <x:c r="C113" s="18" t="str">
        <x:v>P22</x:v>
      </x:c>
      <x:c r="D113" s="18" t="str">
        <x:v>准备</x:v>
      </x:c>
      <x:c r="E113" s="18" t="str">
        <x:v>熟鸡肉</x:v>
      </x:c>
      <x:c r="F113" s="18" t="str">
        <x:v>鸡肉切配件×1</x:v>
      </x:c>
      <x:c r="G113" s="18" t="str">
        <x:v>鸡肉切配件→煎熟</x:v>
      </x:c>
      <x:c r="H113" s="18" t="str">
        <x:v>煎台</x:v>
      </x:c>
      <x:c r="I113" s="18" t="str">
        <x:v>备料盘</x:v>
      </x:c>
      <x:c r="J113" s="18" t="str">
        <x:v>P16 鸡肉切配件</x:v>
      </x:c>
    </x:row>
    <x:row r="114" ht="64" customHeight="1">
      <x:c r="A114" s="18" t="str">
        <x:v>F26</x:v>
      </x:c>
      <x:c r="B114" s="18" t="str">
        <x:v>鸡肉卷饼</x:v>
      </x:c>
      <x:c r="C114" s="18" t="str">
        <x:v>FINAL</x:v>
      </x:c>
      <x:c r="D114" s="18" t="str">
        <x:v>成品</x:v>
      </x:c>
      <x:c r="E114" s="18" t="str">
        <x:v>鸡肉米饭卷饼</x:v>
      </x:c>
      <x:c r="F114" s="18" t="str">
        <x:v>卷饼皮×1 + 米饭×1 + 熟鸡肉×1</x:v>
      </x:c>
      <x:c r="G114" s="18" t="str">
        <x:v>饼皮+熟饭+熟鸡肉→包卷→装盘</x:v>
      </x:c>
      <x:c r="H114" s="18" t="str">
        <x:v>组装台</x:v>
      </x:c>
      <x:c r="I114" s="18" t="str">
        <x:v>餐盘</x:v>
      </x:c>
      <x:c r="J114" s="18" t="str">
        <x:v>供货：卷饼皮；P19 米饭；P22 熟鸡肉</x:v>
      </x:c>
    </x:row>
    <x:row r="115" ht="64" customHeight="1">
      <x:c r="A115" s="18" t="str">
        <x:v>F26</x:v>
      </x:c>
      <x:c r="B115" s="18" t="str">
        <x:v>鸡肉卷饼</x:v>
      </x:c>
      <x:c r="C115" s="18" t="str">
        <x:v>SERVE</x:v>
      </x:c>
      <x:c r="D115" s="18" t="str">
        <x:v>交付</x:v>
      </x:c>
      <x:c r="E115" s="18" t="str">
        <x:v>可交付订单</x:v>
      </x:c>
      <x:c r="F115" s="18" t="str">
        <x:v>已完成菜品</x:v>
      </x:c>
      <x:c r="G115" s="18" t="str">
        <x:v>完成装盘→暂存/交接→按订单交付</x:v>
      </x:c>
      <x:c r="H115" s="18" t="str">
        <x:v>出餐点</x:v>
      </x:c>
      <x:c r="I115" s="18" t="str">
        <x:v>餐盘</x:v>
      </x:c>
      <x:c r="J115" s="18" t="str">
        <x:v>FINAL</x:v>
      </x:c>
    </x:row>
    <x:row r="116" ht="64" customHeight="1">
      <x:c r="A116" s="18" t="str">
        <x:v>F27</x:v>
      </x:c>
      <x:c r="B116" s="18" t="str">
        <x:v>蘑菇卷饼</x:v>
      </x:c>
      <x:c r="C116" s="18" t="str">
        <x:v>P19</x:v>
      </x:c>
      <x:c r="D116" s="18" t="str">
        <x:v>准备</x:v>
      </x:c>
      <x:c r="E116" s="18" t="str">
        <x:v>米饭</x:v>
      </x:c>
      <x:c r="F116" s="18" t="str">
        <x:v>米×1</x:v>
      </x:c>
      <x:c r="G116" s="18" t="str">
        <x:v>米入锅→煮熟→可按份取用</x:v>
      </x:c>
      <x:c r="H116" s="18" t="str">
        <x:v>煮锅</x:v>
      </x:c>
      <x:c r="I116" s="18" t="str">
        <x:v>煮锅/饭桶</x:v>
      </x:c>
      <x:c r="J116" s="18" t="str">
        <x:v>供货：米</x:v>
      </x:c>
    </x:row>
    <x:row r="117" ht="64" customHeight="1">
      <x:c r="A117" s="18" t="str">
        <x:v>F27</x:v>
      </x:c>
      <x:c r="B117" s="18" t="str">
        <x:v>蘑菇卷饼</x:v>
      </x:c>
      <x:c r="C117" s="18" t="str">
        <x:v>P05</x:v>
      </x:c>
      <x:c r="D117" s="18" t="str">
        <x:v>准备</x:v>
      </x:c>
      <x:c r="E117" s="18" t="str">
        <x:v>蘑菇片</x:v>
      </x:c>
      <x:c r="F117" s="18" t="str">
        <x:v>蘑菇×1</x:v>
      </x:c>
      <x:c r="G117" s="18" t="str">
        <x:v>蘑菇→切配→蘑菇片</x:v>
      </x:c>
      <x:c r="H117" s="18" t="str">
        <x:v>切配台</x:v>
      </x:c>
      <x:c r="I117" s="18" t="str">
        <x:v>备料盒</x:v>
      </x:c>
      <x:c r="J117" s="18" t="str">
        <x:v>供货：蘑菇</x:v>
      </x:c>
    </x:row>
    <x:row r="118" ht="64" customHeight="1">
      <x:c r="A118" s="18" t="str">
        <x:v>F27</x:v>
      </x:c>
      <x:c r="B118" s="18" t="str">
        <x:v>蘑菇卷饼</x:v>
      </x:c>
      <x:c r="C118" s="18" t="str">
        <x:v>P24</x:v>
      </x:c>
      <x:c r="D118" s="18" t="str">
        <x:v>准备</x:v>
      </x:c>
      <x:c r="E118" s="18" t="str">
        <x:v>熟蘑菇</x:v>
      </x:c>
      <x:c r="F118" s="18" t="str">
        <x:v>蘑菇片×1</x:v>
      </x:c>
      <x:c r="G118" s="18" t="str">
        <x:v>蘑菇片→煎熟</x:v>
      </x:c>
      <x:c r="H118" s="18" t="str">
        <x:v>煎台</x:v>
      </x:c>
      <x:c r="I118" s="18" t="str">
        <x:v>备料盘</x:v>
      </x:c>
      <x:c r="J118" s="18" t="str">
        <x:v>P05 蘑菇片</x:v>
      </x:c>
    </x:row>
    <x:row r="119" ht="64" customHeight="1">
      <x:c r="A119" s="18" t="str">
        <x:v>F27</x:v>
      </x:c>
      <x:c r="B119" s="18" t="str">
        <x:v>蘑菇卷饼</x:v>
      </x:c>
      <x:c r="C119" s="18" t="str">
        <x:v>FINAL</x:v>
      </x:c>
      <x:c r="D119" s="18" t="str">
        <x:v>成品</x:v>
      </x:c>
      <x:c r="E119" s="18" t="str">
        <x:v>蘑菇米饭卷饼</x:v>
      </x:c>
      <x:c r="F119" s="18" t="str">
        <x:v>卷饼皮×1 + 米饭×1 + 熟蘑菇×1</x:v>
      </x:c>
      <x:c r="G119" s="18" t="str">
        <x:v>饼皮+熟饭+熟蘑菇→包卷→装盘</x:v>
      </x:c>
      <x:c r="H119" s="18" t="str">
        <x:v>组装台</x:v>
      </x:c>
      <x:c r="I119" s="18" t="str">
        <x:v>餐盘</x:v>
      </x:c>
      <x:c r="J119" s="18" t="str">
        <x:v>供货：卷饼皮；P19 米饭；P24 熟蘑菇</x:v>
      </x:c>
    </x:row>
    <x:row r="120" ht="64" customHeight="1">
      <x:c r="A120" s="18" t="str">
        <x:v>F27</x:v>
      </x:c>
      <x:c r="B120" s="18" t="str">
        <x:v>蘑菇卷饼</x:v>
      </x:c>
      <x:c r="C120" s="18" t="str">
        <x:v>SERVE</x:v>
      </x:c>
      <x:c r="D120" s="18" t="str">
        <x:v>交付</x:v>
      </x:c>
      <x:c r="E120" s="18" t="str">
        <x:v>可交付订单</x:v>
      </x:c>
      <x:c r="F120" s="18" t="str">
        <x:v>已完成菜品</x:v>
      </x:c>
      <x:c r="G120" s="18" t="str">
        <x:v>完成装盘→暂存/交接→按订单交付</x:v>
      </x:c>
      <x:c r="H120" s="18" t="str">
        <x:v>出餐点</x:v>
      </x:c>
      <x:c r="I120" s="18" t="str">
        <x:v>餐盘</x:v>
      </x:c>
      <x:c r="J120" s="18" t="str">
        <x:v>FINAL</x:v>
      </x:c>
    </x:row>
    <x:row r="121" ht="64" customHeight="1">
      <x:c r="A121" s="18" t="str">
        <x:v>F28</x:v>
      </x:c>
      <x:c r="B121" s="18" t="str">
        <x:v>牛肉蒸饺</x:v>
      </x:c>
      <x:c r="C121" s="18" t="str">
        <x:v>P04</x:v>
      </x:c>
      <x:c r="D121" s="18" t="str">
        <x:v>准备</x:v>
      </x:c>
      <x:c r="E121" s="18" t="str">
        <x:v>洋葱块</x:v>
      </x:c>
      <x:c r="F121" s="18" t="str">
        <x:v>洋葱×1</x:v>
      </x:c>
      <x:c r="G121" s="18" t="str">
        <x:v>洋葱→切配→洋葱块</x:v>
      </x:c>
      <x:c r="H121" s="18" t="str">
        <x:v>切配台</x:v>
      </x:c>
      <x:c r="I121" s="18" t="str">
        <x:v>备料盒</x:v>
      </x:c>
      <x:c r="J121" s="18" t="str">
        <x:v>供货：洋葱</x:v>
      </x:c>
    </x:row>
    <x:row r="122" ht="64" customHeight="1">
      <x:c r="A122" s="18" t="str">
        <x:v>F28</x:v>
      </x:c>
      <x:c r="B122" s="18" t="str">
        <x:v>牛肉蒸饺</x:v>
      </x:c>
      <x:c r="C122" s="18" t="str">
        <x:v>FINAL</x:v>
      </x:c>
      <x:c r="D122" s="18" t="str">
        <x:v>成品</x:v>
      </x:c>
      <x:c r="E122" s="18" t="str">
        <x:v>一份牛肉蒸饺</x:v>
      </x:c>
      <x:c r="F122" s="18" t="str">
        <x:v>饺子皮×1 + 牛肉末×1 + 洋葱块×1</x:v>
      </x:c>
      <x:c r="G122" s="18" t="str">
        <x:v>牛肉末+洋葱混馅→与皮一次包成一份→蒸熟</x:v>
      </x:c>
      <x:c r="H122" s="18" t="str">
        <x:v>组装台、蒸锅</x:v>
      </x:c>
      <x:c r="I122" s="18" t="str">
        <x:v>蒸食盘</x:v>
      </x:c>
      <x:c r="J122" s="18" t="str">
        <x:v>供货：饺子皮；供货：牛肉末；P04 洋葱块</x:v>
      </x:c>
    </x:row>
    <x:row r="123" ht="64" customHeight="1">
      <x:c r="A123" s="18" t="str">
        <x:v>F28</x:v>
      </x:c>
      <x:c r="B123" s="18" t="str">
        <x:v>牛肉蒸饺</x:v>
      </x:c>
      <x:c r="C123" s="18" t="str">
        <x:v>SERVE</x:v>
      </x:c>
      <x:c r="D123" s="18" t="str">
        <x:v>交付</x:v>
      </x:c>
      <x:c r="E123" s="18" t="str">
        <x:v>可交付订单</x:v>
      </x:c>
      <x:c r="F123" s="18" t="str">
        <x:v>已完成菜品</x:v>
      </x:c>
      <x:c r="G123" s="18" t="str">
        <x:v>完成装盘→暂存/交接→按订单交付</x:v>
      </x:c>
      <x:c r="H123" s="18" t="str">
        <x:v>出餐点</x:v>
      </x:c>
      <x:c r="I123" s="18" t="str">
        <x:v>蒸食盘</x:v>
      </x:c>
      <x:c r="J123" s="18" t="str">
        <x:v>FINAL</x:v>
      </x:c>
    </x:row>
    <x:row r="124" ht="64" customHeight="1">
      <x:c r="A124" s="18" t="str">
        <x:v>F29</x:v>
      </x:c>
      <x:c r="B124" s="18" t="str">
        <x:v>鲜虾蒸饺</x:v>
      </x:c>
      <x:c r="C124" s="18" t="str">
        <x:v>FINAL</x:v>
      </x:c>
      <x:c r="D124" s="18" t="str">
        <x:v>成品</x:v>
      </x:c>
      <x:c r="E124" s="18" t="str">
        <x:v>一份鲜虾蒸饺</x:v>
      </x:c>
      <x:c r="F124" s="18" t="str">
        <x:v>饺子皮×1 + 虾仁×1</x:v>
      </x:c>
      <x:c r="G124" s="18" t="str">
        <x:v>虾仁+饺子皮→一次包成一份→蒸熟</x:v>
      </x:c>
      <x:c r="H124" s="18" t="str">
        <x:v>组装台、蒸锅</x:v>
      </x:c>
      <x:c r="I124" s="18" t="str">
        <x:v>蒸食盘</x:v>
      </x:c>
      <x:c r="J124" s="18" t="str">
        <x:v>供货：饺子皮；供货：虾仁</x:v>
      </x:c>
    </x:row>
    <x:row r="125" ht="64" customHeight="1">
      <x:c r="A125" s="18" t="str">
        <x:v>F29</x:v>
      </x:c>
      <x:c r="B125" s="18" t="str">
        <x:v>鲜虾蒸饺</x:v>
      </x:c>
      <x:c r="C125" s="18" t="str">
        <x:v>SERVE</x:v>
      </x:c>
      <x:c r="D125" s="18" t="str">
        <x:v>交付</x:v>
      </x:c>
      <x:c r="E125" s="18" t="str">
        <x:v>可交付订单</x:v>
      </x:c>
      <x:c r="F125" s="18" t="str">
        <x:v>已完成菜品</x:v>
      </x:c>
      <x:c r="G125" s="18" t="str">
        <x:v>完成装盘→暂存/交接→按订单交付</x:v>
      </x:c>
      <x:c r="H125" s="18" t="str">
        <x:v>出餐点</x:v>
      </x:c>
      <x:c r="I125" s="18" t="str">
        <x:v>蒸食盘</x:v>
      </x:c>
      <x:c r="J125" s="18" t="str">
        <x:v>FINAL</x:v>
      </x:c>
    </x:row>
    <x:row r="126" ht="64" customHeight="1">
      <x:c r="A126" s="18" t="str">
        <x:v>F30</x:v>
      </x:c>
      <x:c r="B126" s="18" t="str">
        <x:v>蘑菇胡萝卜蒸饺</x:v>
      </x:c>
      <x:c r="C126" s="18" t="str">
        <x:v>P05</x:v>
      </x:c>
      <x:c r="D126" s="18" t="str">
        <x:v>准备</x:v>
      </x:c>
      <x:c r="E126" s="18" t="str">
        <x:v>蘑菇片</x:v>
      </x:c>
      <x:c r="F126" s="18" t="str">
        <x:v>蘑菇×1</x:v>
      </x:c>
      <x:c r="G126" s="18" t="str">
        <x:v>蘑菇→切配→蘑菇片</x:v>
      </x:c>
      <x:c r="H126" s="18" t="str">
        <x:v>切配台</x:v>
      </x:c>
      <x:c r="I126" s="18" t="str">
        <x:v>备料盒</x:v>
      </x:c>
      <x:c r="J126" s="18" t="str">
        <x:v>供货：蘑菇</x:v>
      </x:c>
    </x:row>
    <x:row r="127" ht="64" customHeight="1">
      <x:c r="A127" s="18" t="str">
        <x:v>F30</x:v>
      </x:c>
      <x:c r="B127" s="18" t="str">
        <x:v>蘑菇胡萝卜蒸饺</x:v>
      </x:c>
      <x:c r="C127" s="18" t="str">
        <x:v>P06</x:v>
      </x:c>
      <x:c r="D127" s="18" t="str">
        <x:v>准备</x:v>
      </x:c>
      <x:c r="E127" s="18" t="str">
        <x:v>胡萝卜块</x:v>
      </x:c>
      <x:c r="F127" s="18" t="str">
        <x:v>胡萝卜×1</x:v>
      </x:c>
      <x:c r="G127" s="18" t="str">
        <x:v>胡萝卜→切配→胡萝卜块</x:v>
      </x:c>
      <x:c r="H127" s="18" t="str">
        <x:v>切配台</x:v>
      </x:c>
      <x:c r="I127" s="18" t="str">
        <x:v>备料盒</x:v>
      </x:c>
      <x:c r="J127" s="18" t="str">
        <x:v>供货：胡萝卜</x:v>
      </x:c>
    </x:row>
    <x:row r="128" ht="64" customHeight="1">
      <x:c r="A128" s="18" t="str">
        <x:v>F30</x:v>
      </x:c>
      <x:c r="B128" s="18" t="str">
        <x:v>蘑菇胡萝卜蒸饺</x:v>
      </x:c>
      <x:c r="C128" s="18" t="str">
        <x:v>FINAL</x:v>
      </x:c>
      <x:c r="D128" s="18" t="str">
        <x:v>成品</x:v>
      </x:c>
      <x:c r="E128" s="18" t="str">
        <x:v>一份蔬菜蒸饺</x:v>
      </x:c>
      <x:c r="F128" s="18" t="str">
        <x:v>饺子皮×1 + 蘑菇片×1 + 胡萝卜块×1</x:v>
      </x:c>
      <x:c r="G128" s="18" t="str">
        <x:v>蘑菇和胡萝卜混馅→包制→蒸熟</x:v>
      </x:c>
      <x:c r="H128" s="18" t="str">
        <x:v>组装台、蒸锅</x:v>
      </x:c>
      <x:c r="I128" s="18" t="str">
        <x:v>蒸食盘</x:v>
      </x:c>
      <x:c r="J128" s="18" t="str">
        <x:v>供货：饺子皮；P05 蘑菇片；P06 胡萝卜块</x:v>
      </x:c>
    </x:row>
    <x:row r="129" ht="64" customHeight="1">
      <x:c r="A129" s="18" t="str">
        <x:v>F30</x:v>
      </x:c>
      <x:c r="B129" s="18" t="str">
        <x:v>蘑菇胡萝卜蒸饺</x:v>
      </x:c>
      <x:c r="C129" s="18" t="str">
        <x:v>SERVE</x:v>
      </x:c>
      <x:c r="D129" s="18" t="str">
        <x:v>交付</x:v>
      </x:c>
      <x:c r="E129" s="18" t="str">
        <x:v>可交付订单</x:v>
      </x:c>
      <x:c r="F129" s="18" t="str">
        <x:v>已完成菜品</x:v>
      </x:c>
      <x:c r="G129" s="18" t="str">
        <x:v>完成装盘→暂存/交接→按订单交付</x:v>
      </x:c>
      <x:c r="H129" s="18" t="str">
        <x:v>出餐点</x:v>
      </x:c>
      <x:c r="I129" s="18" t="str">
        <x:v>蒸食盘</x:v>
      </x:c>
      <x:c r="J129" s="18" t="str">
        <x:v>FINAL</x:v>
      </x:c>
    </x:row>
    <x:row r="130" ht="64" customHeight="1">
      <x:c r="A130" s="18" t="str">
        <x:v>F31</x:v>
      </x:c>
      <x:c r="B130" s="18" t="str">
        <x:v>清蒸鱼</x:v>
      </x:c>
      <x:c r="C130" s="18" t="str">
        <x:v>FINAL</x:v>
      </x:c>
      <x:c r="D130" s="18" t="str">
        <x:v>成品</x:v>
      </x:c>
      <x:c r="E130" s="18" t="str">
        <x:v>一份蒸鱼</x:v>
      </x:c>
      <x:c r="F130" s="18" t="str">
        <x:v>白身鱼肉×1</x:v>
      </x:c>
      <x:c r="G130" s="18" t="str">
        <x:v>白身鱼肉放入蒸锅→蒸熟→盛盘</x:v>
      </x:c>
      <x:c r="H130" s="18" t="str">
        <x:v>蒸锅</x:v>
      </x:c>
      <x:c r="I130" s="18" t="str">
        <x:v>蒸食盘</x:v>
      </x:c>
      <x:c r="J130" s="18" t="str">
        <x:v>供货：白身鱼肉</x:v>
      </x:c>
    </x:row>
    <x:row r="131" ht="64" customHeight="1">
      <x:c r="A131" s="18" t="str">
        <x:v>F31</x:v>
      </x:c>
      <x:c r="B131" s="18" t="str">
        <x:v>清蒸鱼</x:v>
      </x:c>
      <x:c r="C131" s="18" t="str">
        <x:v>SERVE</x:v>
      </x:c>
      <x:c r="D131" s="18" t="str">
        <x:v>交付</x:v>
      </x:c>
      <x:c r="E131" s="18" t="str">
        <x:v>可交付订单</x:v>
      </x:c>
      <x:c r="F131" s="18" t="str">
        <x:v>已完成菜品</x:v>
      </x:c>
      <x:c r="G131" s="18" t="str">
        <x:v>完成装盘→暂存/交接→按订单交付</x:v>
      </x:c>
      <x:c r="H131" s="18" t="str">
        <x:v>出餐点</x:v>
      </x:c>
      <x:c r="I131" s="18" t="str">
        <x:v>蒸食盘</x:v>
      </x:c>
      <x:c r="J131" s="18" t="str">
        <x:v>FINAL</x:v>
      </x:c>
    </x:row>
    <x:row r="132" ht="64" customHeight="1">
      <x:c r="A132" s="18" t="str">
        <x:v>F32</x:v>
      </x:c>
      <x:c r="B132" s="18" t="str">
        <x:v>薯条</x:v>
      </x:c>
      <x:c r="C132" s="18" t="str">
        <x:v>P34</x:v>
      </x:c>
      <x:c r="D132" s="18" t="str">
        <x:v>准备</x:v>
      </x:c>
      <x:c r="E132" s="18" t="str">
        <x:v>炸薯条</x:v>
      </x:c>
      <x:c r="F132" s="18" t="str">
        <x:v>生薯条×1</x:v>
      </x:c>
      <x:c r="G132" s="18" t="str">
        <x:v>供应的生薯条→炸熟</x:v>
      </x:c>
      <x:c r="H132" s="18" t="str">
        <x:v>炸锅</x:v>
      </x:c>
      <x:c r="I132" s="18" t="str">
        <x:v>备料盘</x:v>
      </x:c>
      <x:c r="J132" s="18" t="str">
        <x:v>供货：生薯条</x:v>
      </x:c>
    </x:row>
    <x:row r="133" ht="64" customHeight="1">
      <x:c r="A133" s="18" t="str">
        <x:v>F32</x:v>
      </x:c>
      <x:c r="B133" s="18" t="str">
        <x:v>薯条</x:v>
      </x:c>
      <x:c r="C133" s="18" t="str">
        <x:v>FINAL</x:v>
      </x:c>
      <x:c r="D133" s="18" t="str">
        <x:v>成品</x:v>
      </x:c>
      <x:c r="E133" s="18" t="str">
        <x:v>一份金黄薯条</x:v>
      </x:c>
      <x:c r="F133" s="18" t="str">
        <x:v>炸薯条×1</x:v>
      </x:c>
      <x:c r="G133" s="18" t="str">
        <x:v>炸好的薯条→装盘</x:v>
      </x:c>
      <x:c r="H133" s="18" t="str">
        <x:v>组装台</x:v>
      </x:c>
      <x:c r="I133" s="18" t="str">
        <x:v>餐盘</x:v>
      </x:c>
      <x:c r="J133" s="18" t="str">
        <x:v>P34 炸薯条</x:v>
      </x:c>
    </x:row>
    <x:row r="134" ht="64" customHeight="1">
      <x:c r="A134" s="18" t="str">
        <x:v>F32</x:v>
      </x:c>
      <x:c r="B134" s="18" t="str">
        <x:v>薯条</x:v>
      </x:c>
      <x:c r="C134" s="18" t="str">
        <x:v>SERVE</x:v>
      </x:c>
      <x:c r="D134" s="18" t="str">
        <x:v>交付</x:v>
      </x:c>
      <x:c r="E134" s="18" t="str">
        <x:v>可交付订单</x:v>
      </x:c>
      <x:c r="F134" s="18" t="str">
        <x:v>已完成菜品</x:v>
      </x:c>
      <x:c r="G134" s="18" t="str">
        <x:v>完成装盘→暂存/交接→按订单交付</x:v>
      </x:c>
      <x:c r="H134" s="18" t="str">
        <x:v>出餐点</x:v>
      </x:c>
      <x:c r="I134" s="18" t="str">
        <x:v>餐盘</x:v>
      </x:c>
      <x:c r="J134" s="18" t="str">
        <x:v>FINAL</x:v>
      </x:c>
    </x:row>
    <x:row r="135" ht="64" customHeight="1">
      <x:c r="A135" s="18" t="str">
        <x:v>F33</x:v>
      </x:c>
      <x:c r="B135" s="18" t="str">
        <x:v>炸鸡块</x:v>
      </x:c>
      <x:c r="C135" s="18" t="str">
        <x:v>P16</x:v>
      </x:c>
      <x:c r="D135" s="18" t="str">
        <x:v>准备</x:v>
      </x:c>
      <x:c r="E135" s="18" t="str">
        <x:v>鸡肉切配件</x:v>
      </x:c>
      <x:c r="F135" s="18" t="str">
        <x:v>鸡肉块×1</x:v>
      </x:c>
      <x:c r="G135" s="18" t="str">
        <x:v>鸡肉块→切配→鸡肉切配件</x:v>
      </x:c>
      <x:c r="H135" s="18" t="str">
        <x:v>切配台</x:v>
      </x:c>
      <x:c r="I135" s="18" t="str">
        <x:v>备料盒</x:v>
      </x:c>
      <x:c r="J135" s="18" t="str">
        <x:v>供货：鸡肉块</x:v>
      </x:c>
    </x:row>
    <x:row r="136" ht="64" customHeight="1">
      <x:c r="A136" s="18" t="str">
        <x:v>F33</x:v>
      </x:c>
      <x:c r="B136" s="18" t="str">
        <x:v>炸鸡块</x:v>
      </x:c>
      <x:c r="C136" s="18" t="str">
        <x:v>P32</x:v>
      </x:c>
      <x:c r="D136" s="18" t="str">
        <x:v>准备</x:v>
      </x:c>
      <x:c r="E136" s="18" t="str">
        <x:v>炸鸡块</x:v>
      </x:c>
      <x:c r="F136" s="18" t="str">
        <x:v>鸡肉切配件×1 + 炸粉×1</x:v>
      </x:c>
      <x:c r="G136" s="18" t="str">
        <x:v>鸡肉切配件加炸粉→一次裹粉→炸熟</x:v>
      </x:c>
      <x:c r="H136" s="18" t="str">
        <x:v>组装台、炸锅</x:v>
      </x:c>
      <x:c r="I136" s="18" t="str">
        <x:v>备料盘</x:v>
      </x:c>
      <x:c r="J136" s="18" t="str">
        <x:v>P16 鸡肉切配件；供货：炸粉</x:v>
      </x:c>
    </x:row>
    <x:row r="137" ht="64" customHeight="1">
      <x:c r="A137" s="18" t="str">
        <x:v>F33</x:v>
      </x:c>
      <x:c r="B137" s="18" t="str">
        <x:v>炸鸡块</x:v>
      </x:c>
      <x:c r="C137" s="18" t="str">
        <x:v>FINAL</x:v>
      </x:c>
      <x:c r="D137" s="18" t="str">
        <x:v>成品</x:v>
      </x:c>
      <x:c r="E137" s="18" t="str">
        <x:v>一份炸鸡块</x:v>
      </x:c>
      <x:c r="F137" s="18" t="str">
        <x:v>炸鸡块×1</x:v>
      </x:c>
      <x:c r="G137" s="18" t="str">
        <x:v>炸好的鸡块→装盘</x:v>
      </x:c>
      <x:c r="H137" s="18" t="str">
        <x:v>组装台</x:v>
      </x:c>
      <x:c r="I137" s="18" t="str">
        <x:v>餐盘</x:v>
      </x:c>
      <x:c r="J137" s="18" t="str">
        <x:v>P32 炸鸡块</x:v>
      </x:c>
    </x:row>
    <x:row r="138" ht="64" customHeight="1">
      <x:c r="A138" s="18" t="str">
        <x:v>F33</x:v>
      </x:c>
      <x:c r="B138" s="18" t="str">
        <x:v>炸鸡块</x:v>
      </x:c>
      <x:c r="C138" s="18" t="str">
        <x:v>SERVE</x:v>
      </x:c>
      <x:c r="D138" s="18" t="str">
        <x:v>交付</x:v>
      </x:c>
      <x:c r="E138" s="18" t="str">
        <x:v>可交付订单</x:v>
      </x:c>
      <x:c r="F138" s="18" t="str">
        <x:v>已完成菜品</x:v>
      </x:c>
      <x:c r="G138" s="18" t="str">
        <x:v>完成装盘→暂存/交接→按订单交付</x:v>
      </x:c>
      <x:c r="H138" s="18" t="str">
        <x:v>出餐点</x:v>
      </x:c>
      <x:c r="I138" s="18" t="str">
        <x:v>餐盘</x:v>
      </x:c>
      <x:c r="J138" s="18" t="str">
        <x:v>FINAL</x:v>
      </x:c>
    </x:row>
    <x:row r="139" ht="64" customHeight="1">
      <x:c r="A139" s="18" t="str">
        <x:v>F34</x:v>
      </x:c>
      <x:c r="B139" s="18" t="str">
        <x:v>鸡块薯条拼盘</x:v>
      </x:c>
      <x:c r="C139" s="18" t="str">
        <x:v>P16</x:v>
      </x:c>
      <x:c r="D139" s="18" t="str">
        <x:v>准备</x:v>
      </x:c>
      <x:c r="E139" s="18" t="str">
        <x:v>鸡肉切配件</x:v>
      </x:c>
      <x:c r="F139" s="18" t="str">
        <x:v>鸡肉块×1</x:v>
      </x:c>
      <x:c r="G139" s="18" t="str">
        <x:v>鸡肉块→切配→鸡肉切配件</x:v>
      </x:c>
      <x:c r="H139" s="18" t="str">
        <x:v>切配台</x:v>
      </x:c>
      <x:c r="I139" s="18" t="str">
        <x:v>备料盒</x:v>
      </x:c>
      <x:c r="J139" s="18" t="str">
        <x:v>供货：鸡肉块</x:v>
      </x:c>
    </x:row>
    <x:row r="140" ht="64" customHeight="1">
      <x:c r="A140" s="18" t="str">
        <x:v>F34</x:v>
      </x:c>
      <x:c r="B140" s="18" t="str">
        <x:v>鸡块薯条拼盘</x:v>
      </x:c>
      <x:c r="C140" s="18" t="str">
        <x:v>P32</x:v>
      </x:c>
      <x:c r="D140" s="18" t="str">
        <x:v>准备</x:v>
      </x:c>
      <x:c r="E140" s="18" t="str">
        <x:v>炸鸡块</x:v>
      </x:c>
      <x:c r="F140" s="18" t="str">
        <x:v>鸡肉切配件×1 + 炸粉×1</x:v>
      </x:c>
      <x:c r="G140" s="18" t="str">
        <x:v>鸡肉切配件加炸粉→一次裹粉→炸熟</x:v>
      </x:c>
      <x:c r="H140" s="18" t="str">
        <x:v>组装台、炸锅</x:v>
      </x:c>
      <x:c r="I140" s="18" t="str">
        <x:v>备料盘</x:v>
      </x:c>
      <x:c r="J140" s="18" t="str">
        <x:v>P16 鸡肉切配件；供货：炸粉</x:v>
      </x:c>
    </x:row>
    <x:row r="141" ht="64" customHeight="1">
      <x:c r="A141" s="18" t="str">
        <x:v>F34</x:v>
      </x:c>
      <x:c r="B141" s="18" t="str">
        <x:v>鸡块薯条拼盘</x:v>
      </x:c>
      <x:c r="C141" s="18" t="str">
        <x:v>P34</x:v>
      </x:c>
      <x:c r="D141" s="18" t="str">
        <x:v>准备</x:v>
      </x:c>
      <x:c r="E141" s="18" t="str">
        <x:v>炸薯条</x:v>
      </x:c>
      <x:c r="F141" s="18" t="str">
        <x:v>生薯条×1</x:v>
      </x:c>
      <x:c r="G141" s="18" t="str">
        <x:v>供应的生薯条→炸熟</x:v>
      </x:c>
      <x:c r="H141" s="18" t="str">
        <x:v>炸锅</x:v>
      </x:c>
      <x:c r="I141" s="18" t="str">
        <x:v>备料盘</x:v>
      </x:c>
      <x:c r="J141" s="18" t="str">
        <x:v>供货：生薯条</x:v>
      </x:c>
    </x:row>
    <x:row r="142" ht="64" customHeight="1">
      <x:c r="A142" s="18" t="str">
        <x:v>F34</x:v>
      </x:c>
      <x:c r="B142" s="18" t="str">
        <x:v>鸡块薯条拼盘</x:v>
      </x:c>
      <x:c r="C142" s="18" t="str">
        <x:v>FINAL</x:v>
      </x:c>
      <x:c r="D142" s="18" t="str">
        <x:v>成品</x:v>
      </x:c>
      <x:c r="E142" s="18" t="str">
        <x:v>两种炸物拼盘</x:v>
      </x:c>
      <x:c r="F142" s="18" t="str">
        <x:v>炸鸡块×1 + 炸薯条×1</x:v>
      </x:c>
      <x:c r="G142" s="18" t="str">
        <x:v>鸡块与薯条分别炸好→同盘组合</x:v>
      </x:c>
      <x:c r="H142" s="18" t="str">
        <x:v>组装台</x:v>
      </x:c>
      <x:c r="I142" s="18" t="str">
        <x:v>餐盘</x:v>
      </x:c>
      <x:c r="J142" s="18" t="str">
        <x:v>P32 炸鸡块；P34 炸薯条</x:v>
      </x:c>
    </x:row>
    <x:row r="143" ht="64" customHeight="1">
      <x:c r="A143" s="18" t="str">
        <x:v>F34</x:v>
      </x:c>
      <x:c r="B143" s="18" t="str">
        <x:v>鸡块薯条拼盘</x:v>
      </x:c>
      <x:c r="C143" s="18" t="str">
        <x:v>SERVE</x:v>
      </x:c>
      <x:c r="D143" s="18" t="str">
        <x:v>交付</x:v>
      </x:c>
      <x:c r="E143" s="18" t="str">
        <x:v>可交付订单</x:v>
      </x:c>
      <x:c r="F143" s="18" t="str">
        <x:v>已完成菜品</x:v>
      </x:c>
      <x:c r="G143" s="18" t="str">
        <x:v>完成装盘→暂存/交接→按订单交付</x:v>
      </x:c>
      <x:c r="H143" s="18" t="str">
        <x:v>出餐点</x:v>
      </x:c>
      <x:c r="I143" s="18" t="str">
        <x:v>餐盘</x:v>
      </x:c>
      <x:c r="J143" s="18" t="str">
        <x:v>FINAL</x:v>
      </x:c>
    </x:row>
    <x:row r="144" ht="64" customHeight="1">
      <x:c r="A144" s="18" t="str">
        <x:v>F35</x:v>
      </x:c>
      <x:c r="B144" s="18" t="str">
        <x:v>炸鱼薯条</x:v>
      </x:c>
      <x:c r="C144" s="18" t="str">
        <x:v>P33</x:v>
      </x:c>
      <x:c r="D144" s="18" t="str">
        <x:v>准备</x:v>
      </x:c>
      <x:c r="E144" s="18" t="str">
        <x:v>炸鱼排</x:v>
      </x:c>
      <x:c r="F144" s="18" t="str">
        <x:v>白身鱼肉×1 + 炸粉×1</x:v>
      </x:c>
      <x:c r="G144" s="18" t="str">
        <x:v>白身鱼肉加炸粉→一次裹粉→炸熟</x:v>
      </x:c>
      <x:c r="H144" s="18" t="str">
        <x:v>组装台、炸锅</x:v>
      </x:c>
      <x:c r="I144" s="18" t="str">
        <x:v>备料盘</x:v>
      </x:c>
      <x:c r="J144" s="18" t="str">
        <x:v>供货：白身鱼肉；供货：炸粉</x:v>
      </x:c>
    </x:row>
    <x:row r="145" ht="64" customHeight="1">
      <x:c r="A145" s="18" t="str">
        <x:v>F35</x:v>
      </x:c>
      <x:c r="B145" s="18" t="str">
        <x:v>炸鱼薯条</x:v>
      </x:c>
      <x:c r="C145" s="18" t="str">
        <x:v>P34</x:v>
      </x:c>
      <x:c r="D145" s="18" t="str">
        <x:v>准备</x:v>
      </x:c>
      <x:c r="E145" s="18" t="str">
        <x:v>炸薯条</x:v>
      </x:c>
      <x:c r="F145" s="18" t="str">
        <x:v>生薯条×1</x:v>
      </x:c>
      <x:c r="G145" s="18" t="str">
        <x:v>供应的生薯条→炸熟</x:v>
      </x:c>
      <x:c r="H145" s="18" t="str">
        <x:v>炸锅</x:v>
      </x:c>
      <x:c r="I145" s="18" t="str">
        <x:v>备料盘</x:v>
      </x:c>
      <x:c r="J145" s="18" t="str">
        <x:v>供货：生薯条</x:v>
      </x:c>
    </x:row>
    <x:row r="146" ht="64" customHeight="1">
      <x:c r="A146" s="18" t="str">
        <x:v>F35</x:v>
      </x:c>
      <x:c r="B146" s="18" t="str">
        <x:v>炸鱼薯条</x:v>
      </x:c>
      <x:c r="C146" s="18" t="str">
        <x:v>FINAL</x:v>
      </x:c>
      <x:c r="D146" s="18" t="str">
        <x:v>成品</x:v>
      </x:c>
      <x:c r="E146" s="18" t="str">
        <x:v>炸鱼排与薯条</x:v>
      </x:c>
      <x:c r="F146" s="18" t="str">
        <x:v>炸鱼排×1 + 炸薯条×1</x:v>
      </x:c>
      <x:c r="G146" s="18" t="str">
        <x:v>鱼排与薯条分别炸好→同盘组合</x:v>
      </x:c>
      <x:c r="H146" s="18" t="str">
        <x:v>组装台</x:v>
      </x:c>
      <x:c r="I146" s="18" t="str">
        <x:v>餐盘</x:v>
      </x:c>
      <x:c r="J146" s="18" t="str">
        <x:v>P33 炸鱼排；P34 炸薯条</x:v>
      </x:c>
    </x:row>
    <x:row r="147" ht="64" customHeight="1">
      <x:c r="A147" s="18" t="str">
        <x:v>F35</x:v>
      </x:c>
      <x:c r="B147" s="18" t="str">
        <x:v>炸鱼薯条</x:v>
      </x:c>
      <x:c r="C147" s="18" t="str">
        <x:v>SERVE</x:v>
      </x:c>
      <x:c r="D147" s="18" t="str">
        <x:v>交付</x:v>
      </x:c>
      <x:c r="E147" s="18" t="str">
        <x:v>可交付订单</x:v>
      </x:c>
      <x:c r="F147" s="18" t="str">
        <x:v>已完成菜品</x:v>
      </x:c>
      <x:c r="G147" s="18" t="str">
        <x:v>完成装盘→暂存/交接→按订单交付</x:v>
      </x:c>
      <x:c r="H147" s="18" t="str">
        <x:v>出餐点</x:v>
      </x:c>
      <x:c r="I147" s="18" t="str">
        <x:v>餐盘</x:v>
      </x:c>
      <x:c r="J147" s="18" t="str">
        <x:v>FINAL</x:v>
      </x:c>
    </x:row>
    <x:row r="148" ht="64" customHeight="1">
      <x:c r="A148" s="18" t="str">
        <x:v>F36</x:v>
      </x:c>
      <x:c r="B148" s="18" t="str">
        <x:v>牛肉蘑菇串</x:v>
      </x:c>
      <x:c r="C148" s="18" t="str">
        <x:v>P15</x:v>
      </x:c>
      <x:c r="D148" s="18" t="str">
        <x:v>准备</x:v>
      </x:c>
      <x:c r="E148" s="18" t="str">
        <x:v>牛肉切配件</x:v>
      </x:c>
      <x:c r="F148" s="18" t="str">
        <x:v>牛肉块×1</x:v>
      </x:c>
      <x:c r="G148" s="18" t="str">
        <x:v>牛肉块→切配→牛肉切配件</x:v>
      </x:c>
      <x:c r="H148" s="18" t="str">
        <x:v>切配台</x:v>
      </x:c>
      <x:c r="I148" s="18" t="str">
        <x:v>备料盒</x:v>
      </x:c>
      <x:c r="J148" s="18" t="str">
        <x:v>供货：牛肉块</x:v>
      </x:c>
    </x:row>
    <x:row r="149" ht="64" customHeight="1">
      <x:c r="A149" s="18" t="str">
        <x:v>F36</x:v>
      </x:c>
      <x:c r="B149" s="18" t="str">
        <x:v>牛肉蘑菇串</x:v>
      </x:c>
      <x:c r="C149" s="18" t="str">
        <x:v>P05</x:v>
      </x:c>
      <x:c r="D149" s="18" t="str">
        <x:v>准备</x:v>
      </x:c>
      <x:c r="E149" s="18" t="str">
        <x:v>蘑菇片</x:v>
      </x:c>
      <x:c r="F149" s="18" t="str">
        <x:v>蘑菇×1</x:v>
      </x:c>
      <x:c r="G149" s="18" t="str">
        <x:v>蘑菇→切配→蘑菇片</x:v>
      </x:c>
      <x:c r="H149" s="18" t="str">
        <x:v>切配台</x:v>
      </x:c>
      <x:c r="I149" s="18" t="str">
        <x:v>备料盒</x:v>
      </x:c>
      <x:c r="J149" s="18" t="str">
        <x:v>供货：蘑菇</x:v>
      </x:c>
    </x:row>
    <x:row r="150" ht="64" customHeight="1">
      <x:c r="A150" s="18" t="str">
        <x:v>F36</x:v>
      </x:c>
      <x:c r="B150" s="18" t="str">
        <x:v>牛肉蘑菇串</x:v>
      </x:c>
      <x:c r="C150" s="18" t="str">
        <x:v>P04</x:v>
      </x:c>
      <x:c r="D150" s="18" t="str">
        <x:v>准备</x:v>
      </x:c>
      <x:c r="E150" s="18" t="str">
        <x:v>洋葱块</x:v>
      </x:c>
      <x:c r="F150" s="18" t="str">
        <x:v>洋葱×1</x:v>
      </x:c>
      <x:c r="G150" s="18" t="str">
        <x:v>洋葱→切配→洋葱块</x:v>
      </x:c>
      <x:c r="H150" s="18" t="str">
        <x:v>切配台</x:v>
      </x:c>
      <x:c r="I150" s="18" t="str">
        <x:v>备料盒</x:v>
      </x:c>
      <x:c r="J150" s="18" t="str">
        <x:v>供货：洋葱</x:v>
      </x:c>
    </x:row>
    <x:row r="151" ht="64" customHeight="1">
      <x:c r="A151" s="18" t="str">
        <x:v>F36</x:v>
      </x:c>
      <x:c r="B151" s="18" t="str">
        <x:v>牛肉蘑菇串</x:v>
      </x:c>
      <x:c r="C151" s="18" t="str">
        <x:v>FINAL</x:v>
      </x:c>
      <x:c r="D151" s="18" t="str">
        <x:v>成品</x:v>
      </x:c>
      <x:c r="E151" s="18" t="str">
        <x:v>一份牛肉蔬菜串</x:v>
      </x:c>
      <x:c r="F151" s="18" t="str">
        <x:v>牛肉切配件×1 + 蘑菇片×1 + 洋葱块×1</x:v>
      </x:c>
      <x:c r="G151" s="18" t="str">
        <x:v>牛肉、蘑菇、洋葱→一次串制→烤熟</x:v>
      </x:c>
      <x:c r="H151" s="18" t="str">
        <x:v>组装台、烤架</x:v>
      </x:c>
      <x:c r="I151" s="18" t="str">
        <x:v>餐盘</x:v>
      </x:c>
      <x:c r="J151" s="18" t="str">
        <x:v>P15 牛肉切配件；P05 蘑菇片；P04 洋葱块</x:v>
      </x:c>
    </x:row>
    <x:row r="152" ht="64" customHeight="1">
      <x:c r="A152" s="18" t="str">
        <x:v>F36</x:v>
      </x:c>
      <x:c r="B152" s="18" t="str">
        <x:v>牛肉蘑菇串</x:v>
      </x:c>
      <x:c r="C152" s="18" t="str">
        <x:v>SERVE</x:v>
      </x:c>
      <x:c r="D152" s="18" t="str">
        <x:v>交付</x:v>
      </x:c>
      <x:c r="E152" s="18" t="str">
        <x:v>可交付订单</x:v>
      </x:c>
      <x:c r="F152" s="18" t="str">
        <x:v>已完成菜品</x:v>
      </x:c>
      <x:c r="G152" s="18" t="str">
        <x:v>完成装盘→暂存/交接→按订单交付</x:v>
      </x:c>
      <x:c r="H152" s="18" t="str">
        <x:v>出餐点</x:v>
      </x:c>
      <x:c r="I152" s="18" t="str">
        <x:v>餐盘</x:v>
      </x:c>
      <x:c r="J152" s="18" t="str">
        <x:v>FINAL</x:v>
      </x:c>
    </x:row>
    <x:row r="153" ht="64" customHeight="1">
      <x:c r="A153" s="18" t="str">
        <x:v>F37</x:v>
      </x:c>
      <x:c r="B153" s="18" t="str">
        <x:v>鸡肉蔬菜串</x:v>
      </x:c>
      <x:c r="C153" s="18" t="str">
        <x:v>P16</x:v>
      </x:c>
      <x:c r="D153" s="18" t="str">
        <x:v>准备</x:v>
      </x:c>
      <x:c r="E153" s="18" t="str">
        <x:v>鸡肉切配件</x:v>
      </x:c>
      <x:c r="F153" s="18" t="str">
        <x:v>鸡肉块×1</x:v>
      </x:c>
      <x:c r="G153" s="18" t="str">
        <x:v>鸡肉块→切配→鸡肉切配件</x:v>
      </x:c>
      <x:c r="H153" s="18" t="str">
        <x:v>切配台</x:v>
      </x:c>
      <x:c r="I153" s="18" t="str">
        <x:v>备料盒</x:v>
      </x:c>
      <x:c r="J153" s="18" t="str">
        <x:v>供货：鸡肉块</x:v>
      </x:c>
    </x:row>
    <x:row r="154" ht="64" customHeight="1">
      <x:c r="A154" s="18" t="str">
        <x:v>F37</x:v>
      </x:c>
      <x:c r="B154" s="18" t="str">
        <x:v>鸡肉蔬菜串</x:v>
      </x:c>
      <x:c r="C154" s="18" t="str">
        <x:v>P04</x:v>
      </x:c>
      <x:c r="D154" s="18" t="str">
        <x:v>准备</x:v>
      </x:c>
      <x:c r="E154" s="18" t="str">
        <x:v>洋葱块</x:v>
      </x:c>
      <x:c r="F154" s="18" t="str">
        <x:v>洋葱×1</x:v>
      </x:c>
      <x:c r="G154" s="18" t="str">
        <x:v>洋葱→切配→洋葱块</x:v>
      </x:c>
      <x:c r="H154" s="18" t="str">
        <x:v>切配台</x:v>
      </x:c>
      <x:c r="I154" s="18" t="str">
        <x:v>备料盒</x:v>
      </x:c>
      <x:c r="J154" s="18" t="str">
        <x:v>供货：洋葱</x:v>
      </x:c>
    </x:row>
    <x:row r="155" ht="64" customHeight="1">
      <x:c r="A155" s="18" t="str">
        <x:v>F37</x:v>
      </x:c>
      <x:c r="B155" s="18" t="str">
        <x:v>鸡肉蔬菜串</x:v>
      </x:c>
      <x:c r="C155" s="18" t="str">
        <x:v>P02</x:v>
      </x:c>
      <x:c r="D155" s="18" t="str">
        <x:v>准备</x:v>
      </x:c>
      <x:c r="E155" s="18" t="str">
        <x:v>番茄块</x:v>
      </x:c>
      <x:c r="F155" s="18" t="str">
        <x:v>番茄×1</x:v>
      </x:c>
      <x:c r="G155" s="18" t="str">
        <x:v>番茄→切配→番茄块</x:v>
      </x:c>
      <x:c r="H155" s="18" t="str">
        <x:v>切配台</x:v>
      </x:c>
      <x:c r="I155" s="18" t="str">
        <x:v>备料盒</x:v>
      </x:c>
      <x:c r="J155" s="18" t="str">
        <x:v>供货：番茄</x:v>
      </x:c>
    </x:row>
    <x:row r="156" ht="64" customHeight="1">
      <x:c r="A156" s="18" t="str">
        <x:v>F37</x:v>
      </x:c>
      <x:c r="B156" s="18" t="str">
        <x:v>鸡肉蔬菜串</x:v>
      </x:c>
      <x:c r="C156" s="18" t="str">
        <x:v>FINAL</x:v>
      </x:c>
      <x:c r="D156" s="18" t="str">
        <x:v>成品</x:v>
      </x:c>
      <x:c r="E156" s="18" t="str">
        <x:v>一份鸡肉蔬菜串</x:v>
      </x:c>
      <x:c r="F156" s="18" t="str">
        <x:v>鸡肉切配件×1 + 洋葱块×1 + 番茄块×1</x:v>
      </x:c>
      <x:c r="G156" s="18" t="str">
        <x:v>鸡肉、洋葱、番茄→串制→烤熟</x:v>
      </x:c>
      <x:c r="H156" s="18" t="str">
        <x:v>组装台、烤架</x:v>
      </x:c>
      <x:c r="I156" s="18" t="str">
        <x:v>餐盘</x:v>
      </x:c>
      <x:c r="J156" s="18" t="str">
        <x:v>P16 鸡肉切配件；P04 洋葱块；P02 番茄块</x:v>
      </x:c>
    </x:row>
    <x:row r="157" ht="64" customHeight="1">
      <x:c r="A157" s="18" t="str">
        <x:v>F37</x:v>
      </x:c>
      <x:c r="B157" s="18" t="str">
        <x:v>鸡肉蔬菜串</x:v>
      </x:c>
      <x:c r="C157" s="18" t="str">
        <x:v>SERVE</x:v>
      </x:c>
      <x:c r="D157" s="18" t="str">
        <x:v>交付</x:v>
      </x:c>
      <x:c r="E157" s="18" t="str">
        <x:v>可交付订单</x:v>
      </x:c>
      <x:c r="F157" s="18" t="str">
        <x:v>已完成菜品</x:v>
      </x:c>
      <x:c r="G157" s="18" t="str">
        <x:v>完成装盘→暂存/交接→按订单交付</x:v>
      </x:c>
      <x:c r="H157" s="18" t="str">
        <x:v>出餐点</x:v>
      </x:c>
      <x:c r="I157" s="18" t="str">
        <x:v>餐盘</x:v>
      </x:c>
      <x:c r="J157" s="18" t="str">
        <x:v>FINAL</x:v>
      </x:c>
    </x:row>
    <x:row r="158" ht="64" customHeight="1">
      <x:c r="A158" s="18" t="str">
        <x:v>F38</x:v>
      </x:c>
      <x:c r="B158" s="18" t="str">
        <x:v>三色蔬菜串</x:v>
      </x:c>
      <x:c r="C158" s="18" t="str">
        <x:v>P05</x:v>
      </x:c>
      <x:c r="D158" s="18" t="str">
        <x:v>准备</x:v>
      </x:c>
      <x:c r="E158" s="18" t="str">
        <x:v>蘑菇片</x:v>
      </x:c>
      <x:c r="F158" s="18" t="str">
        <x:v>蘑菇×1</x:v>
      </x:c>
      <x:c r="G158" s="18" t="str">
        <x:v>蘑菇→切配→蘑菇片</x:v>
      </x:c>
      <x:c r="H158" s="18" t="str">
        <x:v>切配台</x:v>
      </x:c>
      <x:c r="I158" s="18" t="str">
        <x:v>备料盒</x:v>
      </x:c>
      <x:c r="J158" s="18" t="str">
        <x:v>供货：蘑菇</x:v>
      </x:c>
    </x:row>
    <x:row r="159" ht="64" customHeight="1">
      <x:c r="A159" s="18" t="str">
        <x:v>F38</x:v>
      </x:c>
      <x:c r="B159" s="18" t="str">
        <x:v>三色蔬菜串</x:v>
      </x:c>
      <x:c r="C159" s="18" t="str">
        <x:v>P08</x:v>
      </x:c>
      <x:c r="D159" s="18" t="str">
        <x:v>准备</x:v>
      </x:c>
      <x:c r="E159" s="18" t="str">
        <x:v>西兰花块</x:v>
      </x:c>
      <x:c r="F159" s="18" t="str">
        <x:v>西兰花×1</x:v>
      </x:c>
      <x:c r="G159" s="18" t="str">
        <x:v>西兰花→切配→西兰花块</x:v>
      </x:c>
      <x:c r="H159" s="18" t="str">
        <x:v>切配台</x:v>
      </x:c>
      <x:c r="I159" s="18" t="str">
        <x:v>备料盒</x:v>
      </x:c>
      <x:c r="J159" s="18" t="str">
        <x:v>供货：西兰花</x:v>
      </x:c>
    </x:row>
    <x:row r="160" ht="64" customHeight="1">
      <x:c r="A160" s="18" t="str">
        <x:v>F38</x:v>
      </x:c>
      <x:c r="B160" s="18" t="str">
        <x:v>三色蔬菜串</x:v>
      </x:c>
      <x:c r="C160" s="18" t="str">
        <x:v>P04</x:v>
      </x:c>
      <x:c r="D160" s="18" t="str">
        <x:v>准备</x:v>
      </x:c>
      <x:c r="E160" s="18" t="str">
        <x:v>洋葱块</x:v>
      </x:c>
      <x:c r="F160" s="18" t="str">
        <x:v>洋葱×1</x:v>
      </x:c>
      <x:c r="G160" s="18" t="str">
        <x:v>洋葱→切配→洋葱块</x:v>
      </x:c>
      <x:c r="H160" s="18" t="str">
        <x:v>切配台</x:v>
      </x:c>
      <x:c r="I160" s="18" t="str">
        <x:v>备料盒</x:v>
      </x:c>
      <x:c r="J160" s="18" t="str">
        <x:v>供货：洋葱</x:v>
      </x:c>
    </x:row>
    <x:row r="161" ht="64" customHeight="1">
      <x:c r="A161" s="18" t="str">
        <x:v>F38</x:v>
      </x:c>
      <x:c r="B161" s="18" t="str">
        <x:v>三色蔬菜串</x:v>
      </x:c>
      <x:c r="C161" s="18" t="str">
        <x:v>FINAL</x:v>
      </x:c>
      <x:c r="D161" s="18" t="str">
        <x:v>成品</x:v>
      </x:c>
      <x:c r="E161" s="18" t="str">
        <x:v>蔬菜串</x:v>
      </x:c>
      <x:c r="F161" s="18" t="str">
        <x:v>蘑菇片×1 + 西兰花块×1 + 洋葱块×1</x:v>
      </x:c>
      <x:c r="G161" s="18" t="str">
        <x:v>三种蔬菜→串制→烤熟</x:v>
      </x:c>
      <x:c r="H161" s="18" t="str">
        <x:v>组装台、烤架</x:v>
      </x:c>
      <x:c r="I161" s="18" t="str">
        <x:v>餐盘</x:v>
      </x:c>
      <x:c r="J161" s="18" t="str">
        <x:v>P05 蘑菇片；P08 西兰花块；P04 洋葱块</x:v>
      </x:c>
    </x:row>
    <x:row r="162" ht="64" customHeight="1">
      <x:c r="A162" s="18" t="str">
        <x:v>F38</x:v>
      </x:c>
      <x:c r="B162" s="18" t="str">
        <x:v>三色蔬菜串</x:v>
      </x:c>
      <x:c r="C162" s="18" t="str">
        <x:v>SERVE</x:v>
      </x:c>
      <x:c r="D162" s="18" t="str">
        <x:v>交付</x:v>
      </x:c>
      <x:c r="E162" s="18" t="str">
        <x:v>可交付订单</x:v>
      </x:c>
      <x:c r="F162" s="18" t="str">
        <x:v>已完成菜品</x:v>
      </x:c>
      <x:c r="G162" s="18" t="str">
        <x:v>完成装盘→暂存/交接→按订单交付</x:v>
      </x:c>
      <x:c r="H162" s="18" t="str">
        <x:v>出餐点</x:v>
      </x:c>
      <x:c r="I162" s="18" t="str">
        <x:v>餐盘</x:v>
      </x:c>
      <x:c r="J162" s="18" t="str">
        <x:v>FINAL</x:v>
      </x:c>
    </x:row>
    <x:row r="163" ht="64" customHeight="1">
      <x:c r="A163" s="18" t="str">
        <x:v>F39</x:v>
      </x:c>
      <x:c r="B163" s="18" t="str">
        <x:v>烤鸡蔬菜盘</x:v>
      </x:c>
      <x:c r="C163" s="18" t="str">
        <x:v>P16</x:v>
      </x:c>
      <x:c r="D163" s="18" t="str">
        <x:v>准备</x:v>
      </x:c>
      <x:c r="E163" s="18" t="str">
        <x:v>鸡肉切配件</x:v>
      </x:c>
      <x:c r="F163" s="18" t="str">
        <x:v>鸡肉块×1</x:v>
      </x:c>
      <x:c r="G163" s="18" t="str">
        <x:v>鸡肉块→切配→鸡肉切配件</x:v>
      </x:c>
      <x:c r="H163" s="18" t="str">
        <x:v>切配台</x:v>
      </x:c>
      <x:c r="I163" s="18" t="str">
        <x:v>备料盒</x:v>
      </x:c>
      <x:c r="J163" s="18" t="str">
        <x:v>供货：鸡肉块</x:v>
      </x:c>
    </x:row>
    <x:row r="164" ht="64" customHeight="1">
      <x:c r="A164" s="18" t="str">
        <x:v>F39</x:v>
      </x:c>
      <x:c r="B164" s="18" t="str">
        <x:v>烤鸡蔬菜盘</x:v>
      </x:c>
      <x:c r="C164" s="18" t="str">
        <x:v>P07</x:v>
      </x:c>
      <x:c r="D164" s="18" t="str">
        <x:v>准备</x:v>
      </x:c>
      <x:c r="E164" s="18" t="str">
        <x:v>土豆块</x:v>
      </x:c>
      <x:c r="F164" s="18" t="str">
        <x:v>土豆×1</x:v>
      </x:c>
      <x:c r="G164" s="18" t="str">
        <x:v>土豆→切配→土豆块</x:v>
      </x:c>
      <x:c r="H164" s="18" t="str">
        <x:v>切配台</x:v>
      </x:c>
      <x:c r="I164" s="18" t="str">
        <x:v>备料盒</x:v>
      </x:c>
      <x:c r="J164" s="18" t="str">
        <x:v>供货：土豆</x:v>
      </x:c>
    </x:row>
    <x:row r="165" ht="64" customHeight="1">
      <x:c r="A165" s="18" t="str">
        <x:v>F39</x:v>
      </x:c>
      <x:c r="B165" s="18" t="str">
        <x:v>烤鸡蔬菜盘</x:v>
      </x:c>
      <x:c r="C165" s="18" t="str">
        <x:v>P06</x:v>
      </x:c>
      <x:c r="D165" s="18" t="str">
        <x:v>准备</x:v>
      </x:c>
      <x:c r="E165" s="18" t="str">
        <x:v>胡萝卜块</x:v>
      </x:c>
      <x:c r="F165" s="18" t="str">
        <x:v>胡萝卜×1</x:v>
      </x:c>
      <x:c r="G165" s="18" t="str">
        <x:v>胡萝卜→切配→胡萝卜块</x:v>
      </x:c>
      <x:c r="H165" s="18" t="str">
        <x:v>切配台</x:v>
      </x:c>
      <x:c r="I165" s="18" t="str">
        <x:v>备料盒</x:v>
      </x:c>
      <x:c r="J165" s="18" t="str">
        <x:v>供货：胡萝卜</x:v>
      </x:c>
    </x:row>
    <x:row r="166" ht="64" customHeight="1">
      <x:c r="A166" s="18" t="str">
        <x:v>F39</x:v>
      </x:c>
      <x:c r="B166" s="18" t="str">
        <x:v>烤鸡蔬菜盘</x:v>
      </x:c>
      <x:c r="C166" s="18" t="str">
        <x:v>FINAL</x:v>
      </x:c>
      <x:c r="D166" s="18" t="str">
        <x:v>成品</x:v>
      </x:c>
      <x:c r="E166" s="18" t="str">
        <x:v>烤鸡肉与蔬菜</x:v>
      </x:c>
      <x:c r="F166" s="18" t="str">
        <x:v>鸡肉切配件×1 + 土豆块×1 + 胡萝卜块×1</x:v>
      </x:c>
      <x:c r="G166" s="18" t="str">
        <x:v>生鸡肉与蔬菜同入烤盘→统一烤熟→盛盘</x:v>
      </x:c>
      <x:c r="H166" s="18" t="str">
        <x:v>组装台、烤箱</x:v>
      </x:c>
      <x:c r="I166" s="18" t="str">
        <x:v>大餐盘</x:v>
      </x:c>
      <x:c r="J166" s="18" t="str">
        <x:v>P16 鸡肉切配件；P07 土豆块；P06 胡萝卜块</x:v>
      </x:c>
    </x:row>
    <x:row r="167" ht="64" customHeight="1">
      <x:c r="A167" s="18" t="str">
        <x:v>F39</x:v>
      </x:c>
      <x:c r="B167" s="18" t="str">
        <x:v>烤鸡蔬菜盘</x:v>
      </x:c>
      <x:c r="C167" s="18" t="str">
        <x:v>SERVE</x:v>
      </x:c>
      <x:c r="D167" s="18" t="str">
        <x:v>交付</x:v>
      </x:c>
      <x:c r="E167" s="18" t="str">
        <x:v>可交付订单</x:v>
      </x:c>
      <x:c r="F167" s="18" t="str">
        <x:v>已完成菜品</x:v>
      </x:c>
      <x:c r="G167" s="18" t="str">
        <x:v>完成装盘→暂存/交接→按订单交付</x:v>
      </x:c>
      <x:c r="H167" s="18" t="str">
        <x:v>出餐点</x:v>
      </x:c>
      <x:c r="I167" s="18" t="str">
        <x:v>大餐盘</x:v>
      </x:c>
      <x:c r="J167" s="18" t="str">
        <x:v>FINAL</x:v>
      </x:c>
    </x:row>
    <x:row r="168" ht="64" customHeight="1">
      <x:c r="A168" s="18" t="str">
        <x:v>F40</x:v>
      </x:c>
      <x:c r="B168" s="18" t="str">
        <x:v>香肠土豆烤盘</x:v>
      </x:c>
      <x:c r="C168" s="18" t="str">
        <x:v>P07</x:v>
      </x:c>
      <x:c r="D168" s="18" t="str">
        <x:v>准备</x:v>
      </x:c>
      <x:c r="E168" s="18" t="str">
        <x:v>土豆块</x:v>
      </x:c>
      <x:c r="F168" s="18" t="str">
        <x:v>土豆×1</x:v>
      </x:c>
      <x:c r="G168" s="18" t="str">
        <x:v>土豆→切配→土豆块</x:v>
      </x:c>
      <x:c r="H168" s="18" t="str">
        <x:v>切配台</x:v>
      </x:c>
      <x:c r="I168" s="18" t="str">
        <x:v>备料盒</x:v>
      </x:c>
      <x:c r="J168" s="18" t="str">
        <x:v>供货：土豆</x:v>
      </x:c>
    </x:row>
    <x:row r="169" ht="64" customHeight="1">
      <x:c r="A169" s="18" t="str">
        <x:v>F40</x:v>
      </x:c>
      <x:c r="B169" s="18" t="str">
        <x:v>香肠土豆烤盘</x:v>
      </x:c>
      <x:c r="C169" s="18" t="str">
        <x:v>P05</x:v>
      </x:c>
      <x:c r="D169" s="18" t="str">
        <x:v>准备</x:v>
      </x:c>
      <x:c r="E169" s="18" t="str">
        <x:v>蘑菇片</x:v>
      </x:c>
      <x:c r="F169" s="18" t="str">
        <x:v>蘑菇×1</x:v>
      </x:c>
      <x:c r="G169" s="18" t="str">
        <x:v>蘑菇→切配→蘑菇片</x:v>
      </x:c>
      <x:c r="H169" s="18" t="str">
        <x:v>切配台</x:v>
      </x:c>
      <x:c r="I169" s="18" t="str">
        <x:v>备料盒</x:v>
      </x:c>
      <x:c r="J169" s="18" t="str">
        <x:v>供货：蘑菇</x:v>
      </x:c>
    </x:row>
    <x:row r="170" ht="64" customHeight="1">
      <x:c r="A170" s="18" t="str">
        <x:v>F40</x:v>
      </x:c>
      <x:c r="B170" s="18" t="str">
        <x:v>香肠土豆烤盘</x:v>
      </x:c>
      <x:c r="C170" s="18" t="str">
        <x:v>FINAL</x:v>
      </x:c>
      <x:c r="D170" s="18" t="str">
        <x:v>成品</x:v>
      </x:c>
      <x:c r="E170" s="18" t="str">
        <x:v>香肠蔬菜拼盘</x:v>
      </x:c>
      <x:c r="F170" s="18" t="str">
        <x:v>生香肠×1 + 土豆块×1 + 蘑菇片×1</x:v>
      </x:c>
      <x:c r="G170" s="18" t="str">
        <x:v>生香肠、土豆、蘑菇→组合烤盘→烤熟</x:v>
      </x:c>
      <x:c r="H170" s="18" t="str">
        <x:v>组装台、烤箱</x:v>
      </x:c>
      <x:c r="I170" s="18" t="str">
        <x:v>大餐盘</x:v>
      </x:c>
      <x:c r="J170" s="18" t="str">
        <x:v>供货：生香肠；P07 土豆块；P05 蘑菇片</x:v>
      </x:c>
    </x:row>
    <x:row r="171" ht="64" customHeight="1">
      <x:c r="A171" s="18" t="str">
        <x:v>F40</x:v>
      </x:c>
      <x:c r="B171" s="18" t="str">
        <x:v>香肠土豆烤盘</x:v>
      </x:c>
      <x:c r="C171" s="18" t="str">
        <x:v>SERVE</x:v>
      </x:c>
      <x:c r="D171" s="18" t="str">
        <x:v>交付</x:v>
      </x:c>
      <x:c r="E171" s="18" t="str">
        <x:v>可交付订单</x:v>
      </x:c>
      <x:c r="F171" s="18" t="str">
        <x:v>已完成菜品</x:v>
      </x:c>
      <x:c r="G171" s="18" t="str">
        <x:v>完成装盘→暂存/交接→按订单交付</x:v>
      </x:c>
      <x:c r="H171" s="18" t="str">
        <x:v>出餐点</x:v>
      </x:c>
      <x:c r="I171" s="18" t="str">
        <x:v>大餐盘</x:v>
      </x:c>
      <x:c r="J171" s="18" t="str">
        <x:v>FINAL</x:v>
      </x:c>
    </x:row>
    <x:row r="172" ht="64" customHeight="1">
      <x:c r="A172" s="18" t="str">
        <x:v>F41</x:v>
      </x:c>
      <x:c r="B172" s="18" t="str">
        <x:v>牛肉蔬菜小火锅</x:v>
      </x:c>
      <x:c r="C172" s="18" t="str">
        <x:v>P15</x:v>
      </x:c>
      <x:c r="D172" s="18" t="str">
        <x:v>准备</x:v>
      </x:c>
      <x:c r="E172" s="18" t="str">
        <x:v>牛肉切配件</x:v>
      </x:c>
      <x:c r="F172" s="18" t="str">
        <x:v>牛肉块×1</x:v>
      </x:c>
      <x:c r="G172" s="18" t="str">
        <x:v>牛肉块→切配→牛肉切配件</x:v>
      </x:c>
      <x:c r="H172" s="18" t="str">
        <x:v>切配台</x:v>
      </x:c>
      <x:c r="I172" s="18" t="str">
        <x:v>备料盒</x:v>
      </x:c>
      <x:c r="J172" s="18" t="str">
        <x:v>供货：牛肉块</x:v>
      </x:c>
    </x:row>
    <x:row r="173" ht="64" customHeight="1">
      <x:c r="A173" s="18" t="str">
        <x:v>F41</x:v>
      </x:c>
      <x:c r="B173" s="18" t="str">
        <x:v>牛肉蔬菜小火锅</x:v>
      </x:c>
      <x:c r="C173" s="18" t="str">
        <x:v>P05</x:v>
      </x:c>
      <x:c r="D173" s="18" t="str">
        <x:v>准备</x:v>
      </x:c>
      <x:c r="E173" s="18" t="str">
        <x:v>蘑菇片</x:v>
      </x:c>
      <x:c r="F173" s="18" t="str">
        <x:v>蘑菇×1</x:v>
      </x:c>
      <x:c r="G173" s="18" t="str">
        <x:v>蘑菇→切配→蘑菇片</x:v>
      </x:c>
      <x:c r="H173" s="18" t="str">
        <x:v>切配台</x:v>
      </x:c>
      <x:c r="I173" s="18" t="str">
        <x:v>备料盒</x:v>
      </x:c>
      <x:c r="J173" s="18" t="str">
        <x:v>供货：蘑菇</x:v>
      </x:c>
    </x:row>
    <x:row r="174" ht="64" customHeight="1">
      <x:c r="A174" s="18" t="str">
        <x:v>F41</x:v>
      </x:c>
      <x:c r="B174" s="18" t="str">
        <x:v>牛肉蔬菜小火锅</x:v>
      </x:c>
      <x:c r="C174" s="18" t="str">
        <x:v>P08</x:v>
      </x:c>
      <x:c r="D174" s="18" t="str">
        <x:v>准备</x:v>
      </x:c>
      <x:c r="E174" s="18" t="str">
        <x:v>西兰花块</x:v>
      </x:c>
      <x:c r="F174" s="18" t="str">
        <x:v>西兰花×1</x:v>
      </x:c>
      <x:c r="G174" s="18" t="str">
        <x:v>西兰花→切配→西兰花块</x:v>
      </x:c>
      <x:c r="H174" s="18" t="str">
        <x:v>切配台</x:v>
      </x:c>
      <x:c r="I174" s="18" t="str">
        <x:v>备料盒</x:v>
      </x:c>
      <x:c r="J174" s="18" t="str">
        <x:v>供货：西兰花</x:v>
      </x:c>
    </x:row>
    <x:row r="175" ht="64" customHeight="1">
      <x:c r="A175" s="18" t="str">
        <x:v>F41</x:v>
      </x:c>
      <x:c r="B175" s="18" t="str">
        <x:v>牛肉蔬菜小火锅</x:v>
      </x:c>
      <x:c r="C175" s="18" t="str">
        <x:v>FINAL</x:v>
      </x:c>
      <x:c r="D175" s="18" t="str">
        <x:v>成品</x:v>
      </x:c>
      <x:c r="E175" s="18" t="str">
        <x:v>牛肉蔬菜小火锅</x:v>
      </x:c>
      <x:c r="F175" s="18" t="str">
        <x:v>牛肉切配件×1 + 蘑菇片×1 + 西兰花块×1 + 清汤底×1</x:v>
      </x:c>
      <x:c r="G175" s="18" t="str">
        <x:v>全部入锅→煮熟→转入出餐小锅</x:v>
      </x:c>
      <x:c r="H175" s="18" t="str">
        <x:v>煮锅</x:v>
      </x:c>
      <x:c r="I175" s="18" t="str">
        <x:v>出餐小锅</x:v>
      </x:c>
      <x:c r="J175" s="18" t="str">
        <x:v>P15 牛肉切配件；P05 蘑菇片；P08 西兰花块；供货：清汤底</x:v>
      </x:c>
    </x:row>
    <x:row r="176" ht="64" customHeight="1">
      <x:c r="A176" s="18" t="str">
        <x:v>F41</x:v>
      </x:c>
      <x:c r="B176" s="18" t="str">
        <x:v>牛肉蔬菜小火锅</x:v>
      </x:c>
      <x:c r="C176" s="18" t="str">
        <x:v>SERVE</x:v>
      </x:c>
      <x:c r="D176" s="18" t="str">
        <x:v>交付</x:v>
      </x:c>
      <x:c r="E176" s="18" t="str">
        <x:v>可交付订单</x:v>
      </x:c>
      <x:c r="F176" s="18" t="str">
        <x:v>已完成菜品</x:v>
      </x:c>
      <x:c r="G176" s="18" t="str">
        <x:v>完成装盘→暂存/交接→按订单交付</x:v>
      </x:c>
      <x:c r="H176" s="18" t="str">
        <x:v>出餐点</x:v>
      </x:c>
      <x:c r="I176" s="18" t="str">
        <x:v>出餐小锅</x:v>
      </x:c>
      <x:c r="J176" s="18" t="str">
        <x:v>FINAL</x:v>
      </x:c>
    </x:row>
    <x:row r="177" ht="64" customHeight="1">
      <x:c r="A177" s="18" t="str">
        <x:v>F42</x:v>
      </x:c>
      <x:c r="B177" s="18" t="str">
        <x:v>海鲜蔬菜小火锅</x:v>
      </x:c>
      <x:c r="C177" s="18" t="str">
        <x:v>P18</x:v>
      </x:c>
      <x:c r="D177" s="18" t="str">
        <x:v>准备</x:v>
      </x:c>
      <x:c r="E177" s="18" t="str">
        <x:v>白鱼切配件</x:v>
      </x:c>
      <x:c r="F177" s="18" t="str">
        <x:v>白身鱼肉×1</x:v>
      </x:c>
      <x:c r="G177" s="18" t="str">
        <x:v>白身鱼肉→切配→白鱼切配件</x:v>
      </x:c>
      <x:c r="H177" s="18" t="str">
        <x:v>切配台</x:v>
      </x:c>
      <x:c r="I177" s="18" t="str">
        <x:v>备料盒</x:v>
      </x:c>
      <x:c r="J177" s="18" t="str">
        <x:v>供货：白身鱼肉</x:v>
      </x:c>
    </x:row>
    <x:row r="178" ht="64" customHeight="1">
      <x:c r="A178" s="18" t="str">
        <x:v>F42</x:v>
      </x:c>
      <x:c r="B178" s="18" t="str">
        <x:v>海鲜蔬菜小火锅</x:v>
      </x:c>
      <x:c r="C178" s="18" t="str">
        <x:v>P05</x:v>
      </x:c>
      <x:c r="D178" s="18" t="str">
        <x:v>准备</x:v>
      </x:c>
      <x:c r="E178" s="18" t="str">
        <x:v>蘑菇片</x:v>
      </x:c>
      <x:c r="F178" s="18" t="str">
        <x:v>蘑菇×1</x:v>
      </x:c>
      <x:c r="G178" s="18" t="str">
        <x:v>蘑菇→切配→蘑菇片</x:v>
      </x:c>
      <x:c r="H178" s="18" t="str">
        <x:v>切配台</x:v>
      </x:c>
      <x:c r="I178" s="18" t="str">
        <x:v>备料盒</x:v>
      </x:c>
      <x:c r="J178" s="18" t="str">
        <x:v>供货：蘑菇</x:v>
      </x:c>
    </x:row>
    <x:row r="179" ht="64" customHeight="1">
      <x:c r="A179" s="18" t="str">
        <x:v>F42</x:v>
      </x:c>
      <x:c r="B179" s="18" t="str">
        <x:v>海鲜蔬菜小火锅</x:v>
      </x:c>
      <x:c r="C179" s="18" t="str">
        <x:v>FINAL</x:v>
      </x:c>
      <x:c r="D179" s="18" t="str">
        <x:v>成品</x:v>
      </x:c>
      <x:c r="E179" s="18" t="str">
        <x:v>鱼虾小火锅</x:v>
      </x:c>
      <x:c r="F179" s="18" t="str">
        <x:v>白鱼切配件×1 + 虾仁×1 + 蘑菇片×1 + 清汤底×1</x:v>
      </x:c>
      <x:c r="G179" s="18" t="str">
        <x:v>全部入锅→煮熟→转入出餐小锅</x:v>
      </x:c>
      <x:c r="H179" s="18" t="str">
        <x:v>煮锅</x:v>
      </x:c>
      <x:c r="I179" s="18" t="str">
        <x:v>出餐小锅</x:v>
      </x:c>
      <x:c r="J179" s="18" t="str">
        <x:v>P18 白鱼切配件；供货：虾仁；P05 蘑菇片；供货：清汤底</x:v>
      </x:c>
    </x:row>
    <x:row r="180" ht="64" customHeight="1">
      <x:c r="A180" s="18" t="str">
        <x:v>F42</x:v>
      </x:c>
      <x:c r="B180" s="18" t="str">
        <x:v>海鲜蔬菜小火锅</x:v>
      </x:c>
      <x:c r="C180" s="18" t="str">
        <x:v>SERVE</x:v>
      </x:c>
      <x:c r="D180" s="18" t="str">
        <x:v>交付</x:v>
      </x:c>
      <x:c r="E180" s="18" t="str">
        <x:v>可交付订单</x:v>
      </x:c>
      <x:c r="F180" s="18" t="str">
        <x:v>已完成菜品</x:v>
      </x:c>
      <x:c r="G180" s="18" t="str">
        <x:v>完成装盘→暂存/交接→按订单交付</x:v>
      </x:c>
      <x:c r="H180" s="18" t="str">
        <x:v>出餐点</x:v>
      </x:c>
      <x:c r="I180" s="18" t="str">
        <x:v>出餐小锅</x:v>
      </x:c>
      <x:c r="J180" s="18" t="str">
        <x:v>FINAL</x:v>
      </x:c>
    </x:row>
    <x:row r="181" ht="64" customHeight="1">
      <x:c r="A181" s="18" t="str">
        <x:v>F43</x:v>
      </x:c>
      <x:c r="B181" s="18" t="str">
        <x:v>香肠鸡蛋早餐</x:v>
      </x:c>
      <x:c r="C181" s="18" t="str">
        <x:v>P27</x:v>
      </x:c>
      <x:c r="D181" s="18" t="str">
        <x:v>准备</x:v>
      </x:c>
      <x:c r="E181" s="18" t="str">
        <x:v>熟香肠</x:v>
      </x:c>
      <x:c r="F181" s="18" t="str">
        <x:v>生香肠×1</x:v>
      </x:c>
      <x:c r="G181" s="18" t="str">
        <x:v>生香肠→煎熟</x:v>
      </x:c>
      <x:c r="H181" s="18" t="str">
        <x:v>煎台</x:v>
      </x:c>
      <x:c r="I181" s="18" t="str">
        <x:v>备料盘</x:v>
      </x:c>
      <x:c r="J181" s="18" t="str">
        <x:v>供货：生香肠</x:v>
      </x:c>
    </x:row>
    <x:row r="182" ht="64" customHeight="1">
      <x:c r="A182" s="18" t="str">
        <x:v>F43</x:v>
      </x:c>
      <x:c r="B182" s="18" t="str">
        <x:v>香肠鸡蛋早餐</x:v>
      </x:c>
      <x:c r="C182" s="18" t="str">
        <x:v>P28</x:v>
      </x:c>
      <x:c r="D182" s="18" t="str">
        <x:v>准备</x:v>
      </x:c>
      <x:c r="E182" s="18" t="str">
        <x:v>煎蛋</x:v>
      </x:c>
      <x:c r="F182" s="18" t="str">
        <x:v>鸡蛋×1</x:v>
      </x:c>
      <x:c r="G182" s="18" t="str">
        <x:v>鸡蛋→煎熟；不独立模拟敲壳和翻面</x:v>
      </x:c>
      <x:c r="H182" s="18" t="str">
        <x:v>煎台</x:v>
      </x:c>
      <x:c r="I182" s="18" t="str">
        <x:v>备料盘</x:v>
      </x:c>
      <x:c r="J182" s="18" t="str">
        <x:v>供货：鸡蛋</x:v>
      </x:c>
    </x:row>
    <x:row r="183" ht="64" customHeight="1">
      <x:c r="A183" s="18" t="str">
        <x:v>F43</x:v>
      </x:c>
      <x:c r="B183" s="18" t="str">
        <x:v>香肠鸡蛋早餐</x:v>
      </x:c>
      <x:c r="C183" s="18" t="str">
        <x:v>P30</x:v>
      </x:c>
      <x:c r="D183" s="18" t="str">
        <x:v>准备</x:v>
      </x:c>
      <x:c r="E183" s="18" t="str">
        <x:v>烤吐司</x:v>
      </x:c>
      <x:c r="F183" s="18" t="str">
        <x:v>吐司片×1</x:v>
      </x:c>
      <x:c r="G183" s="18" t="str">
        <x:v>吐司片→烤制</x:v>
      </x:c>
      <x:c r="H183" s="18" t="str">
        <x:v>烤箱</x:v>
      </x:c>
      <x:c r="I183" s="18" t="str">
        <x:v>备料盘</x:v>
      </x:c>
      <x:c r="J183" s="18" t="str">
        <x:v>供货：吐司片</x:v>
      </x:c>
    </x:row>
    <x:row r="184" ht="64" customHeight="1">
      <x:c r="A184" s="18" t="str">
        <x:v>F43</x:v>
      </x:c>
      <x:c r="B184" s="18" t="str">
        <x:v>香肠鸡蛋早餐</x:v>
      </x:c>
      <x:c r="C184" s="18" t="str">
        <x:v>FINAL</x:v>
      </x:c>
      <x:c r="D184" s="18" t="str">
        <x:v>成品</x:v>
      </x:c>
      <x:c r="E184" s="18" t="str">
        <x:v>三组件早餐</x:v>
      </x:c>
      <x:c r="F184" s="18" t="str">
        <x:v>熟香肠×1 + 煎蛋×1 + 烤吐司×1</x:v>
      </x:c>
      <x:c r="G184" s="18" t="str">
        <x:v>香肠、鸡蛋、吐司分别完成→同盘组合</x:v>
      </x:c>
      <x:c r="H184" s="18" t="str">
        <x:v>组装台</x:v>
      </x:c>
      <x:c r="I184" s="18" t="str">
        <x:v>餐盘</x:v>
      </x:c>
      <x:c r="J184" s="18" t="str">
        <x:v>P27 熟香肠；P28 煎蛋；P30 烤吐司</x:v>
      </x:c>
    </x:row>
    <x:row r="185" ht="64" customHeight="1">
      <x:c r="A185" s="18" t="str">
        <x:v>F43</x:v>
      </x:c>
      <x:c r="B185" s="18" t="str">
        <x:v>香肠鸡蛋早餐</x:v>
      </x:c>
      <x:c r="C185" s="18" t="str">
        <x:v>SERVE</x:v>
      </x:c>
      <x:c r="D185" s="18" t="str">
        <x:v>交付</x:v>
      </x:c>
      <x:c r="E185" s="18" t="str">
        <x:v>可交付订单</x:v>
      </x:c>
      <x:c r="F185" s="18" t="str">
        <x:v>已完成菜品</x:v>
      </x:c>
      <x:c r="G185" s="18" t="str">
        <x:v>完成装盘→暂存/交接→按订单交付</x:v>
      </x:c>
      <x:c r="H185" s="18" t="str">
        <x:v>出餐点</x:v>
      </x:c>
      <x:c r="I185" s="18" t="str">
        <x:v>餐盘</x:v>
      </x:c>
      <x:c r="J185" s="18" t="str">
        <x:v>FINAL</x:v>
      </x:c>
    </x:row>
    <x:row r="186" ht="64" customHeight="1">
      <x:c r="A186" s="18" t="str">
        <x:v>F44</x:v>
      </x:c>
      <x:c r="B186" s="18" t="str">
        <x:v>培根鸡蛋早餐</x:v>
      </x:c>
      <x:c r="C186" s="18" t="str">
        <x:v>P29</x:v>
      </x:c>
      <x:c r="D186" s="18" t="str">
        <x:v>准备</x:v>
      </x:c>
      <x:c r="E186" s="18" t="str">
        <x:v>煎培根</x:v>
      </x:c>
      <x:c r="F186" s="18" t="str">
        <x:v>培根×1</x:v>
      </x:c>
      <x:c r="G186" s="18" t="str">
        <x:v>培根→煎熟</x:v>
      </x:c>
      <x:c r="H186" s="18" t="str">
        <x:v>煎台</x:v>
      </x:c>
      <x:c r="I186" s="18" t="str">
        <x:v>备料盘</x:v>
      </x:c>
      <x:c r="J186" s="18" t="str">
        <x:v>供货：培根</x:v>
      </x:c>
    </x:row>
    <x:row r="187" ht="64" customHeight="1">
      <x:c r="A187" s="18" t="str">
        <x:v>F44</x:v>
      </x:c>
      <x:c r="B187" s="18" t="str">
        <x:v>培根鸡蛋早餐</x:v>
      </x:c>
      <x:c r="C187" s="18" t="str">
        <x:v>P28</x:v>
      </x:c>
      <x:c r="D187" s="18" t="str">
        <x:v>准备</x:v>
      </x:c>
      <x:c r="E187" s="18" t="str">
        <x:v>煎蛋</x:v>
      </x:c>
      <x:c r="F187" s="18" t="str">
        <x:v>鸡蛋×1</x:v>
      </x:c>
      <x:c r="G187" s="18" t="str">
        <x:v>鸡蛋→煎熟；不独立模拟敲壳和翻面</x:v>
      </x:c>
      <x:c r="H187" s="18" t="str">
        <x:v>煎台</x:v>
      </x:c>
      <x:c r="I187" s="18" t="str">
        <x:v>备料盘</x:v>
      </x:c>
      <x:c r="J187" s="18" t="str">
        <x:v>供货：鸡蛋</x:v>
      </x:c>
    </x:row>
    <x:row r="188" ht="64" customHeight="1">
      <x:c r="A188" s="18" t="str">
        <x:v>F44</x:v>
      </x:c>
      <x:c r="B188" s="18" t="str">
        <x:v>培根鸡蛋早餐</x:v>
      </x:c>
      <x:c r="C188" s="18" t="str">
        <x:v>P30</x:v>
      </x:c>
      <x:c r="D188" s="18" t="str">
        <x:v>准备</x:v>
      </x:c>
      <x:c r="E188" s="18" t="str">
        <x:v>烤吐司</x:v>
      </x:c>
      <x:c r="F188" s="18" t="str">
        <x:v>吐司片×1</x:v>
      </x:c>
      <x:c r="G188" s="18" t="str">
        <x:v>吐司片→烤制</x:v>
      </x:c>
      <x:c r="H188" s="18" t="str">
        <x:v>烤箱</x:v>
      </x:c>
      <x:c r="I188" s="18" t="str">
        <x:v>备料盘</x:v>
      </x:c>
      <x:c r="J188" s="18" t="str">
        <x:v>供货：吐司片</x:v>
      </x:c>
    </x:row>
    <x:row r="189" ht="64" customHeight="1">
      <x:c r="A189" s="18" t="str">
        <x:v>F44</x:v>
      </x:c>
      <x:c r="B189" s="18" t="str">
        <x:v>培根鸡蛋早餐</x:v>
      </x:c>
      <x:c r="C189" s="18" t="str">
        <x:v>P02</x:v>
      </x:c>
      <x:c r="D189" s="18" t="str">
        <x:v>准备</x:v>
      </x:c>
      <x:c r="E189" s="18" t="str">
        <x:v>番茄块</x:v>
      </x:c>
      <x:c r="F189" s="18" t="str">
        <x:v>番茄×1</x:v>
      </x:c>
      <x:c r="G189" s="18" t="str">
        <x:v>番茄→切配→番茄块</x:v>
      </x:c>
      <x:c r="H189" s="18" t="str">
        <x:v>切配台</x:v>
      </x:c>
      <x:c r="I189" s="18" t="str">
        <x:v>备料盒</x:v>
      </x:c>
      <x:c r="J189" s="18" t="str">
        <x:v>供货：番茄</x:v>
      </x:c>
    </x:row>
    <x:row r="190" ht="64" customHeight="1">
      <x:c r="A190" s="18" t="str">
        <x:v>F44</x:v>
      </x:c>
      <x:c r="B190" s="18" t="str">
        <x:v>培根鸡蛋早餐</x:v>
      </x:c>
      <x:c r="C190" s="18" t="str">
        <x:v>FINAL</x:v>
      </x:c>
      <x:c r="D190" s="18" t="str">
        <x:v>成品</x:v>
      </x:c>
      <x:c r="E190" s="18" t="str">
        <x:v>四组件早餐</x:v>
      </x:c>
      <x:c r="F190" s="18" t="str">
        <x:v>煎培根×1 + 煎蛋×1 + 烤吐司×1 + 番茄块×1</x:v>
      </x:c>
      <x:c r="G190" s="18" t="str">
        <x:v>培根、鸡蛋、吐司完成→加番茄合盘</x:v>
      </x:c>
      <x:c r="H190" s="18" t="str">
        <x:v>组装台</x:v>
      </x:c>
      <x:c r="I190" s="18" t="str">
        <x:v>餐盘</x:v>
      </x:c>
      <x:c r="J190" s="18" t="str">
        <x:v>P29 煎培根；P28 煎蛋；P30 烤吐司；P02 番茄块</x:v>
      </x:c>
    </x:row>
    <x:row r="191" ht="64" customHeight="1">
      <x:c r="A191" s="18" t="str">
        <x:v>F44</x:v>
      </x:c>
      <x:c r="B191" s="18" t="str">
        <x:v>培根鸡蛋早餐</x:v>
      </x:c>
      <x:c r="C191" s="18" t="str">
        <x:v>SERVE</x:v>
      </x:c>
      <x:c r="D191" s="18" t="str">
        <x:v>交付</x:v>
      </x:c>
      <x:c r="E191" s="18" t="str">
        <x:v>可交付订单</x:v>
      </x:c>
      <x:c r="F191" s="18" t="str">
        <x:v>已完成菜品</x:v>
      </x:c>
      <x:c r="G191" s="18" t="str">
        <x:v>完成装盘→暂存/交接→按订单交付</x:v>
      </x:c>
      <x:c r="H191" s="18" t="str">
        <x:v>出餐点</x:v>
      </x:c>
      <x:c r="I191" s="18" t="str">
        <x:v>餐盘</x:v>
      </x:c>
      <x:c r="J191" s="18" t="str">
        <x:v>FINAL</x:v>
      </x:c>
    </x:row>
    <x:row r="192" ht="64" customHeight="1">
      <x:c r="A192" s="18" t="str">
        <x:v>S01</x:v>
      </x:c>
      <x:c r="B192" s="18" t="str">
        <x:v>蜂蜜松饼</x:v>
      </x:c>
      <x:c r="C192" s="18" t="str">
        <x:v>P38</x:v>
      </x:c>
      <x:c r="D192" s="18" t="str">
        <x:v>准备</x:v>
      </x:c>
      <x:c r="E192" s="18" t="str">
        <x:v>甜面糊</x:v>
      </x:c>
      <x:c r="F192" s="18" t="str">
        <x:v>甜点预拌粉×1 + 鸡蛋×1 + 牛奶×1</x:v>
      </x:c>
      <x:c r="G192" s="18" t="str">
        <x:v>预拌粉+鸡蛋+牛奶→搅拌；松饼与蛋糕共用该游戏抽象基底</x:v>
      </x:c>
      <x:c r="H192" s="18" t="str">
        <x:v>搅拌机</x:v>
      </x:c>
      <x:c r="I192" s="18" t="str">
        <x:v>搅拌盆</x:v>
      </x:c>
      <x:c r="J192" s="18" t="str">
        <x:v>供货：甜点预拌粉；供货：鸡蛋；供货：牛奶</x:v>
      </x:c>
    </x:row>
    <x:row r="193" ht="64" customHeight="1">
      <x:c r="A193" s="18" t="str">
        <x:v>S01</x:v>
      </x:c>
      <x:c r="B193" s="18" t="str">
        <x:v>蜂蜜松饼</x:v>
      </x:c>
      <x:c r="C193" s="18" t="str">
        <x:v>FINAL</x:v>
      </x:c>
      <x:c r="D193" s="18" t="str">
        <x:v>成品</x:v>
      </x:c>
      <x:c r="E193" s="18" t="str">
        <x:v>蜂蜜松饼叠</x:v>
      </x:c>
      <x:c r="F193" s="18" t="str">
        <x:v>甜面糊×1 + 蜂蜜×1</x:v>
      </x:c>
      <x:c r="G193" s="18" t="str">
        <x:v>甜面糊入煎台→煎成一份松饼→淋蜂蜜</x:v>
      </x:c>
      <x:c r="H193" s="18" t="str">
        <x:v>煎台、组装台</x:v>
      </x:c>
      <x:c r="I193" s="18" t="str">
        <x:v>甜品盘</x:v>
      </x:c>
      <x:c r="J193" s="18" t="str">
        <x:v>P38 甜面糊；供货：蜂蜜</x:v>
      </x:c>
    </x:row>
    <x:row r="194" ht="64" customHeight="1">
      <x:c r="A194" s="18" t="str">
        <x:v>S01</x:v>
      </x:c>
      <x:c r="B194" s="18" t="str">
        <x:v>蜂蜜松饼</x:v>
      </x:c>
      <x:c r="C194" s="18" t="str">
        <x:v>SERVE</x:v>
      </x:c>
      <x:c r="D194" s="18" t="str">
        <x:v>交付</x:v>
      </x:c>
      <x:c r="E194" s="18" t="str">
        <x:v>可交付订单</x:v>
      </x:c>
      <x:c r="F194" s="18" t="str">
        <x:v>已完成菜品</x:v>
      </x:c>
      <x:c r="G194" s="18" t="str">
        <x:v>完成装盘→暂存/交接→按订单交付</x:v>
      </x:c>
      <x:c r="H194" s="18" t="str">
        <x:v>出餐点</x:v>
      </x:c>
      <x:c r="I194" s="18" t="str">
        <x:v>甜品盘</x:v>
      </x:c>
      <x:c r="J194" s="18" t="str">
        <x:v>FINAL</x:v>
      </x:c>
    </x:row>
    <x:row r="195" ht="64" customHeight="1">
      <x:c r="A195" s="18" t="str">
        <x:v>S02</x:v>
      </x:c>
      <x:c r="B195" s="18" t="str">
        <x:v>巧克力松饼</x:v>
      </x:c>
      <x:c r="C195" s="18" t="str">
        <x:v>P38</x:v>
      </x:c>
      <x:c r="D195" s="18" t="str">
        <x:v>准备</x:v>
      </x:c>
      <x:c r="E195" s="18" t="str">
        <x:v>甜面糊</x:v>
      </x:c>
      <x:c r="F195" s="18" t="str">
        <x:v>甜点预拌粉×1 + 鸡蛋×1 + 牛奶×1</x:v>
      </x:c>
      <x:c r="G195" s="18" t="str">
        <x:v>预拌粉+鸡蛋+牛奶→搅拌；松饼与蛋糕共用该游戏抽象基底</x:v>
      </x:c>
      <x:c r="H195" s="18" t="str">
        <x:v>搅拌机</x:v>
      </x:c>
      <x:c r="I195" s="18" t="str">
        <x:v>搅拌盆</x:v>
      </x:c>
      <x:c r="J195" s="18" t="str">
        <x:v>供货：甜点预拌粉；供货：鸡蛋；供货：牛奶</x:v>
      </x:c>
    </x:row>
    <x:row r="196" ht="64" customHeight="1">
      <x:c r="A196" s="18" t="str">
        <x:v>S02</x:v>
      </x:c>
      <x:c r="B196" s="18" t="str">
        <x:v>巧克力松饼</x:v>
      </x:c>
      <x:c r="C196" s="18" t="str">
        <x:v>FINAL</x:v>
      </x:c>
      <x:c r="D196" s="18" t="str">
        <x:v>成品</x:v>
      </x:c>
      <x:c r="E196" s="18" t="str">
        <x:v>巧克力色表面</x:v>
      </x:c>
      <x:c r="F196" s="18" t="str">
        <x:v>甜面糊×1 + 巧克力酱×1</x:v>
      </x:c>
      <x:c r="G196" s="18" t="str">
        <x:v>甜面糊煎成松饼→淋巧克力酱</x:v>
      </x:c>
      <x:c r="H196" s="18" t="str">
        <x:v>煎台、组装台</x:v>
      </x:c>
      <x:c r="I196" s="18" t="str">
        <x:v>甜品盘</x:v>
      </x:c>
      <x:c r="J196" s="18" t="str">
        <x:v>P38 甜面糊；供货：巧克力酱</x:v>
      </x:c>
    </x:row>
    <x:row r="197" ht="64" customHeight="1">
      <x:c r="A197" s="18" t="str">
        <x:v>S02</x:v>
      </x:c>
      <x:c r="B197" s="18" t="str">
        <x:v>巧克力松饼</x:v>
      </x:c>
      <x:c r="C197" s="18" t="str">
        <x:v>SERVE</x:v>
      </x:c>
      <x:c r="D197" s="18" t="str">
        <x:v>交付</x:v>
      </x:c>
      <x:c r="E197" s="18" t="str">
        <x:v>可交付订单</x:v>
      </x:c>
      <x:c r="F197" s="18" t="str">
        <x:v>已完成菜品</x:v>
      </x:c>
      <x:c r="G197" s="18" t="str">
        <x:v>完成装盘→暂存/交接→按订单交付</x:v>
      </x:c>
      <x:c r="H197" s="18" t="str">
        <x:v>出餐点</x:v>
      </x:c>
      <x:c r="I197" s="18" t="str">
        <x:v>甜品盘</x:v>
      </x:c>
      <x:c r="J197" s="18" t="str">
        <x:v>FINAL</x:v>
      </x:c>
    </x:row>
    <x:row r="198" ht="64" customHeight="1">
      <x:c r="A198" s="18" t="str">
        <x:v>S03</x:v>
      </x:c>
      <x:c r="B198" s="18" t="str">
        <x:v>草莓奶油松饼</x:v>
      </x:c>
      <x:c r="C198" s="18" t="str">
        <x:v>P38</x:v>
      </x:c>
      <x:c r="D198" s="18" t="str">
        <x:v>准备</x:v>
      </x:c>
      <x:c r="E198" s="18" t="str">
        <x:v>甜面糊</x:v>
      </x:c>
      <x:c r="F198" s="18" t="str">
        <x:v>甜点预拌粉×1 + 鸡蛋×1 + 牛奶×1</x:v>
      </x:c>
      <x:c r="G198" s="18" t="str">
        <x:v>预拌粉+鸡蛋+牛奶→搅拌；松饼与蛋糕共用该游戏抽象基底</x:v>
      </x:c>
      <x:c r="H198" s="18" t="str">
        <x:v>搅拌机</x:v>
      </x:c>
      <x:c r="I198" s="18" t="str">
        <x:v>搅拌盆</x:v>
      </x:c>
      <x:c r="J198" s="18" t="str">
        <x:v>供货：甜点预拌粉；供货：鸡蛋；供货：牛奶</x:v>
      </x:c>
    </x:row>
    <x:row r="199" ht="64" customHeight="1">
      <x:c r="A199" s="18" t="str">
        <x:v>S03</x:v>
      </x:c>
      <x:c r="B199" s="18" t="str">
        <x:v>草莓奶油松饼</x:v>
      </x:c>
      <x:c r="C199" s="18" t="str">
        <x:v>P13</x:v>
      </x:c>
      <x:c r="D199" s="18" t="str">
        <x:v>准备</x:v>
      </x:c>
      <x:c r="E199" s="18" t="str">
        <x:v>草莓块</x:v>
      </x:c>
      <x:c r="F199" s="18" t="str">
        <x:v>草莓×1</x:v>
      </x:c>
      <x:c r="G199" s="18" t="str">
        <x:v>草莓→切配→草莓块</x:v>
      </x:c>
      <x:c r="H199" s="18" t="str">
        <x:v>切配台</x:v>
      </x:c>
      <x:c r="I199" s="18" t="str">
        <x:v>备料盒</x:v>
      </x:c>
      <x:c r="J199" s="18" t="str">
        <x:v>供货：草莓</x:v>
      </x:c>
    </x:row>
    <x:row r="200" ht="64" customHeight="1">
      <x:c r="A200" s="18" t="str">
        <x:v>S03</x:v>
      </x:c>
      <x:c r="B200" s="18" t="str">
        <x:v>草莓奶油松饼</x:v>
      </x:c>
      <x:c r="C200" s="18" t="str">
        <x:v>P39</x:v>
      </x:c>
      <x:c r="D200" s="18" t="str">
        <x:v>准备</x:v>
      </x:c>
      <x:c r="E200" s="18" t="str">
        <x:v>打发奶油</x:v>
      </x:c>
      <x:c r="F200" s="18" t="str">
        <x:v>淡奶油×1</x:v>
      </x:c>
      <x:c r="G200" s="18" t="str">
        <x:v>淡奶油→打发</x:v>
      </x:c>
      <x:c r="H200" s="18" t="str">
        <x:v>搅拌机</x:v>
      </x:c>
      <x:c r="I200" s="18" t="str">
        <x:v>配料罐</x:v>
      </x:c>
      <x:c r="J200" s="18" t="str">
        <x:v>供货：淡奶油</x:v>
      </x:c>
    </x:row>
    <x:row r="201" ht="64" customHeight="1">
      <x:c r="A201" s="18" t="str">
        <x:v>S03</x:v>
      </x:c>
      <x:c r="B201" s="18" t="str">
        <x:v>草莓奶油松饼</x:v>
      </x:c>
      <x:c r="C201" s="18" t="str">
        <x:v>FINAL</x:v>
      </x:c>
      <x:c r="D201" s="18" t="str">
        <x:v>成品</x:v>
      </x:c>
      <x:c r="E201" s="18" t="str">
        <x:v>奶油与鲜果松饼</x:v>
      </x:c>
      <x:c r="F201" s="18" t="str">
        <x:v>甜面糊×1 + 草莓块×1 + 打发奶油×1</x:v>
      </x:c>
      <x:c r="G201" s="18" t="str">
        <x:v>煎松饼→加奶油→放草莓</x:v>
      </x:c>
      <x:c r="H201" s="18" t="str">
        <x:v>煎台、组装台</x:v>
      </x:c>
      <x:c r="I201" s="18" t="str">
        <x:v>甜品盘</x:v>
      </x:c>
      <x:c r="J201" s="18" t="str">
        <x:v>P38 甜面糊；P13 草莓块；P39 打发奶油</x:v>
      </x:c>
    </x:row>
    <x:row r="202" ht="64" customHeight="1">
      <x:c r="A202" s="18" t="str">
        <x:v>S03</x:v>
      </x:c>
      <x:c r="B202" s="18" t="str">
        <x:v>草莓奶油松饼</x:v>
      </x:c>
      <x:c r="C202" s="18" t="str">
        <x:v>SERVE</x:v>
      </x:c>
      <x:c r="D202" s="18" t="str">
        <x:v>交付</x:v>
      </x:c>
      <x:c r="E202" s="18" t="str">
        <x:v>可交付订单</x:v>
      </x:c>
      <x:c r="F202" s="18" t="str">
        <x:v>已完成菜品</x:v>
      </x:c>
      <x:c r="G202" s="18" t="str">
        <x:v>完成装盘→暂存/交接→按订单交付</x:v>
      </x:c>
      <x:c r="H202" s="18" t="str">
        <x:v>出餐点</x:v>
      </x:c>
      <x:c r="I202" s="18" t="str">
        <x:v>甜品盘</x:v>
      </x:c>
      <x:c r="J202" s="18" t="str">
        <x:v>FINAL</x:v>
      </x:c>
    </x:row>
    <x:row r="203" ht="64" customHeight="1">
      <x:c r="A203" s="18" t="str">
        <x:v>S04</x:v>
      </x:c>
      <x:c r="B203" s="18" t="str">
        <x:v>原味小蛋糕</x:v>
      </x:c>
      <x:c r="C203" s="18" t="str">
        <x:v>P38</x:v>
      </x:c>
      <x:c r="D203" s="18" t="str">
        <x:v>准备</x:v>
      </x:c>
      <x:c r="E203" s="18" t="str">
        <x:v>甜面糊</x:v>
      </x:c>
      <x:c r="F203" s="18" t="str">
        <x:v>甜点预拌粉×1 + 鸡蛋×1 + 牛奶×1</x:v>
      </x:c>
      <x:c r="G203" s="18" t="str">
        <x:v>预拌粉+鸡蛋+牛奶→搅拌；松饼与蛋糕共用该游戏抽象基底</x:v>
      </x:c>
      <x:c r="H203" s="18" t="str">
        <x:v>搅拌机</x:v>
      </x:c>
      <x:c r="I203" s="18" t="str">
        <x:v>搅拌盆</x:v>
      </x:c>
      <x:c r="J203" s="18" t="str">
        <x:v>供货：甜点预拌粉；供货：鸡蛋；供货：牛奶</x:v>
      </x:c>
    </x:row>
    <x:row r="204" ht="64" customHeight="1">
      <x:c r="A204" s="18" t="str">
        <x:v>S04</x:v>
      </x:c>
      <x:c r="B204" s="18" t="str">
        <x:v>原味小蛋糕</x:v>
      </x:c>
      <x:c r="C204" s="18" t="str">
        <x:v>FINAL</x:v>
      </x:c>
      <x:c r="D204" s="18" t="str">
        <x:v>成品</x:v>
      </x:c>
      <x:c r="E204" s="18" t="str">
        <x:v>单份小蛋糕</x:v>
      </x:c>
      <x:c r="F204" s="18" t="str">
        <x:v>甜面糊×1</x:v>
      </x:c>
      <x:c r="G204" s="18" t="str">
        <x:v>甜面糊倒模→烤熟→脱模装盘</x:v>
      </x:c>
      <x:c r="H204" s="18" t="str">
        <x:v>烤箱</x:v>
      </x:c>
      <x:c r="I204" s="18" t="str">
        <x:v>甜品盘</x:v>
      </x:c>
      <x:c r="J204" s="18" t="str">
        <x:v>P38 甜面糊</x:v>
      </x:c>
    </x:row>
    <x:row r="205" ht="64" customHeight="1">
      <x:c r="A205" s="18" t="str">
        <x:v>S04</x:v>
      </x:c>
      <x:c r="B205" s="18" t="str">
        <x:v>原味小蛋糕</x:v>
      </x:c>
      <x:c r="C205" s="18" t="str">
        <x:v>SERVE</x:v>
      </x:c>
      <x:c r="D205" s="18" t="str">
        <x:v>交付</x:v>
      </x:c>
      <x:c r="E205" s="18" t="str">
        <x:v>可交付订单</x:v>
      </x:c>
      <x:c r="F205" s="18" t="str">
        <x:v>已完成菜品</x:v>
      </x:c>
      <x:c r="G205" s="18" t="str">
        <x:v>完成装盘→暂存/交接→按订单交付</x:v>
      </x:c>
      <x:c r="H205" s="18" t="str">
        <x:v>出餐点</x:v>
      </x:c>
      <x:c r="I205" s="18" t="str">
        <x:v>甜品盘</x:v>
      </x:c>
      <x:c r="J205" s="18" t="str">
        <x:v>FINAL</x:v>
      </x:c>
    </x:row>
    <x:row r="206" ht="64" customHeight="1">
      <x:c r="A206" s="18" t="str">
        <x:v>S05</x:v>
      </x:c>
      <x:c r="B206" s="18" t="str">
        <x:v>巧克力小蛋糕</x:v>
      </x:c>
      <x:c r="C206" s="18" t="str">
        <x:v>P38</x:v>
      </x:c>
      <x:c r="D206" s="18" t="str">
        <x:v>准备</x:v>
      </x:c>
      <x:c r="E206" s="18" t="str">
        <x:v>甜面糊</x:v>
      </x:c>
      <x:c r="F206" s="18" t="str">
        <x:v>甜点预拌粉×1 + 鸡蛋×1 + 牛奶×1</x:v>
      </x:c>
      <x:c r="G206" s="18" t="str">
        <x:v>预拌粉+鸡蛋+牛奶→搅拌；松饼与蛋糕共用该游戏抽象基底</x:v>
      </x:c>
      <x:c r="H206" s="18" t="str">
        <x:v>搅拌机</x:v>
      </x:c>
      <x:c r="I206" s="18" t="str">
        <x:v>搅拌盆</x:v>
      </x:c>
      <x:c r="J206" s="18" t="str">
        <x:v>供货：甜点预拌粉；供货：鸡蛋；供货：牛奶</x:v>
      </x:c>
    </x:row>
    <x:row r="207" ht="64" customHeight="1">
      <x:c r="A207" s="18" t="str">
        <x:v>S05</x:v>
      </x:c>
      <x:c r="B207" s="18" t="str">
        <x:v>巧克力小蛋糕</x:v>
      </x:c>
      <x:c r="C207" s="18" t="str">
        <x:v>FINAL</x:v>
      </x:c>
      <x:c r="D207" s="18" t="str">
        <x:v>成品</x:v>
      </x:c>
      <x:c r="E207" s="18" t="str">
        <x:v>巧克力小蛋糕</x:v>
      </x:c>
      <x:c r="F207" s="18" t="str">
        <x:v>甜面糊×1 + 可可粉×1</x:v>
      </x:c>
      <x:c r="G207" s="18" t="str">
        <x:v>面糊+可可粉→混合→倒模烤制</x:v>
      </x:c>
      <x:c r="H207" s="18" t="str">
        <x:v>搅拌机、烤箱</x:v>
      </x:c>
      <x:c r="I207" s="18" t="str">
        <x:v>甜品盘</x:v>
      </x:c>
      <x:c r="J207" s="18" t="str">
        <x:v>P38 甜面糊；供货：可可粉</x:v>
      </x:c>
    </x:row>
    <x:row r="208" ht="64" customHeight="1">
      <x:c r="A208" s="18" t="str">
        <x:v>S05</x:v>
      </x:c>
      <x:c r="B208" s="18" t="str">
        <x:v>巧克力小蛋糕</x:v>
      </x:c>
      <x:c r="C208" s="18" t="str">
        <x:v>SERVE</x:v>
      </x:c>
      <x:c r="D208" s="18" t="str">
        <x:v>交付</x:v>
      </x:c>
      <x:c r="E208" s="18" t="str">
        <x:v>可交付订单</x:v>
      </x:c>
      <x:c r="F208" s="18" t="str">
        <x:v>已完成菜品</x:v>
      </x:c>
      <x:c r="G208" s="18" t="str">
        <x:v>完成装盘→暂存/交接→按订单交付</x:v>
      </x:c>
      <x:c r="H208" s="18" t="str">
        <x:v>出餐点</x:v>
      </x:c>
      <x:c r="I208" s="18" t="str">
        <x:v>甜品盘</x:v>
      </x:c>
      <x:c r="J208" s="18" t="str">
        <x:v>FINAL</x:v>
      </x:c>
    </x:row>
    <x:row r="209" ht="64" customHeight="1">
      <x:c r="A209" s="18" t="str">
        <x:v>S06</x:v>
      </x:c>
      <x:c r="B209" s="18" t="str">
        <x:v>胡萝卜蛋糕</x:v>
      </x:c>
      <x:c r="C209" s="18" t="str">
        <x:v>P38</x:v>
      </x:c>
      <x:c r="D209" s="18" t="str">
        <x:v>准备</x:v>
      </x:c>
      <x:c r="E209" s="18" t="str">
        <x:v>甜面糊</x:v>
      </x:c>
      <x:c r="F209" s="18" t="str">
        <x:v>甜点预拌粉×1 + 鸡蛋×1 + 牛奶×1</x:v>
      </x:c>
      <x:c r="G209" s="18" t="str">
        <x:v>预拌粉+鸡蛋+牛奶→搅拌；松饼与蛋糕共用该游戏抽象基底</x:v>
      </x:c>
      <x:c r="H209" s="18" t="str">
        <x:v>搅拌机</x:v>
      </x:c>
      <x:c r="I209" s="18" t="str">
        <x:v>搅拌盆</x:v>
      </x:c>
      <x:c r="J209" s="18" t="str">
        <x:v>供货：甜点预拌粉；供货：鸡蛋；供货：牛奶</x:v>
      </x:c>
    </x:row>
    <x:row r="210" ht="64" customHeight="1">
      <x:c r="A210" s="18" t="str">
        <x:v>S06</x:v>
      </x:c>
      <x:c r="B210" s="18" t="str">
        <x:v>胡萝卜蛋糕</x:v>
      </x:c>
      <x:c r="C210" s="18" t="str">
        <x:v>P06</x:v>
      </x:c>
      <x:c r="D210" s="18" t="str">
        <x:v>准备</x:v>
      </x:c>
      <x:c r="E210" s="18" t="str">
        <x:v>胡萝卜块</x:v>
      </x:c>
      <x:c r="F210" s="18" t="str">
        <x:v>胡萝卜×1</x:v>
      </x:c>
      <x:c r="G210" s="18" t="str">
        <x:v>胡萝卜→切配→胡萝卜块</x:v>
      </x:c>
      <x:c r="H210" s="18" t="str">
        <x:v>切配台</x:v>
      </x:c>
      <x:c r="I210" s="18" t="str">
        <x:v>备料盒</x:v>
      </x:c>
      <x:c r="J210" s="18" t="str">
        <x:v>供货：胡萝卜</x:v>
      </x:c>
    </x:row>
    <x:row r="211" ht="64" customHeight="1">
      <x:c r="A211" s="18" t="str">
        <x:v>S06</x:v>
      </x:c>
      <x:c r="B211" s="18" t="str">
        <x:v>胡萝卜蛋糕</x:v>
      </x:c>
      <x:c r="C211" s="18" t="str">
        <x:v>FINAL</x:v>
      </x:c>
      <x:c r="D211" s="18" t="str">
        <x:v>成品</x:v>
      </x:c>
      <x:c r="E211" s="18" t="str">
        <x:v>有胡萝卜特征的蛋糕</x:v>
      </x:c>
      <x:c r="F211" s="18" t="str">
        <x:v>甜面糊×1 + 胡萝卜块×1</x:v>
      </x:c>
      <x:c r="G211" s="18" t="str">
        <x:v>面糊+胡萝卜块→混合→倒模烤制</x:v>
      </x:c>
      <x:c r="H211" s="18" t="str">
        <x:v>搅拌机、烤箱</x:v>
      </x:c>
      <x:c r="I211" s="18" t="str">
        <x:v>甜品盘</x:v>
      </x:c>
      <x:c r="J211" s="18" t="str">
        <x:v>P38 甜面糊；P06 胡萝卜块</x:v>
      </x:c>
    </x:row>
    <x:row r="212" ht="64" customHeight="1">
      <x:c r="A212" s="18" t="str">
        <x:v>S06</x:v>
      </x:c>
      <x:c r="B212" s="18" t="str">
        <x:v>胡萝卜蛋糕</x:v>
      </x:c>
      <x:c r="C212" s="18" t="str">
        <x:v>SERVE</x:v>
      </x:c>
      <x:c r="D212" s="18" t="str">
        <x:v>交付</x:v>
      </x:c>
      <x:c r="E212" s="18" t="str">
        <x:v>可交付订单</x:v>
      </x:c>
      <x:c r="F212" s="18" t="str">
        <x:v>已完成菜品</x:v>
      </x:c>
      <x:c r="G212" s="18" t="str">
        <x:v>完成装盘→暂存/交接→按订单交付</x:v>
      </x:c>
      <x:c r="H212" s="18" t="str">
        <x:v>出餐点</x:v>
      </x:c>
      <x:c r="I212" s="18" t="str">
        <x:v>甜品盘</x:v>
      </x:c>
      <x:c r="J212" s="18" t="str">
        <x:v>FINAL</x:v>
      </x:c>
    </x:row>
    <x:row r="213" ht="64" customHeight="1">
      <x:c r="A213" s="18" t="str">
        <x:v>S07</x:v>
      </x:c>
      <x:c r="B213" s="18" t="str">
        <x:v>巧克力甜甜圈</x:v>
      </x:c>
      <x:c r="C213" s="18" t="str">
        <x:v>FINAL</x:v>
      </x:c>
      <x:c r="D213" s="18" t="str">
        <x:v>成品</x:v>
      </x:c>
      <x:c r="E213" s="18" t="str">
        <x:v>巧克力圈</x:v>
      </x:c>
      <x:c r="F213" s="18" t="str">
        <x:v>生甜甜圈坯×1 + 巧克力酱×1</x:v>
      </x:c>
      <x:c r="G213" s="18" t="str">
        <x:v>生圈坯→炸熟→淋巧克力酱</x:v>
      </x:c>
      <x:c r="H213" s="18" t="str">
        <x:v>炸锅、组装台</x:v>
      </x:c>
      <x:c r="I213" s="18" t="str">
        <x:v>甜品盘</x:v>
      </x:c>
      <x:c r="J213" s="18" t="str">
        <x:v>供货：生甜甜圈坯；供货：巧克力酱</x:v>
      </x:c>
    </x:row>
    <x:row r="214" ht="64" customHeight="1">
      <x:c r="A214" s="18" t="str">
        <x:v>S07</x:v>
      </x:c>
      <x:c r="B214" s="18" t="str">
        <x:v>巧克力甜甜圈</x:v>
      </x:c>
      <x:c r="C214" s="18" t="str">
        <x:v>SERVE</x:v>
      </x:c>
      <x:c r="D214" s="18" t="str">
        <x:v>交付</x:v>
      </x:c>
      <x:c r="E214" s="18" t="str">
        <x:v>可交付订单</x:v>
      </x:c>
      <x:c r="F214" s="18" t="str">
        <x:v>已完成菜品</x:v>
      </x:c>
      <x:c r="G214" s="18" t="str">
        <x:v>完成装盘→暂存/交接→按订单交付</x:v>
      </x:c>
      <x:c r="H214" s="18" t="str">
        <x:v>出餐点</x:v>
      </x:c>
      <x:c r="I214" s="18" t="str">
        <x:v>甜品盘</x:v>
      </x:c>
      <x:c r="J214" s="18" t="str">
        <x:v>FINAL</x:v>
      </x:c>
    </x:row>
    <x:row r="215" ht="64" customHeight="1">
      <x:c r="A215" s="18" t="str">
        <x:v>S08</x:v>
      </x:c>
      <x:c r="B215" s="18" t="str">
        <x:v>草莓甜甜圈</x:v>
      </x:c>
      <x:c r="C215" s="18" t="str">
        <x:v>FINAL</x:v>
      </x:c>
      <x:c r="D215" s="18" t="str">
        <x:v>成品</x:v>
      </x:c>
      <x:c r="E215" s="18" t="str">
        <x:v>粉红草莓圈</x:v>
      </x:c>
      <x:c r="F215" s="18" t="str">
        <x:v>生甜甜圈坯×1 + 草莓酱×1</x:v>
      </x:c>
      <x:c r="G215" s="18" t="str">
        <x:v>生圈坯→炸熟→淋草莓酱</x:v>
      </x:c>
      <x:c r="H215" s="18" t="str">
        <x:v>炸锅、组装台</x:v>
      </x:c>
      <x:c r="I215" s="18" t="str">
        <x:v>甜品盘</x:v>
      </x:c>
      <x:c r="J215" s="18" t="str">
        <x:v>供货：生甜甜圈坯；供货：草莓酱</x:v>
      </x:c>
    </x:row>
    <x:row r="216" ht="64" customHeight="1">
      <x:c r="A216" s="18" t="str">
        <x:v>S08</x:v>
      </x:c>
      <x:c r="B216" s="18" t="str">
        <x:v>草莓甜甜圈</x:v>
      </x:c>
      <x:c r="C216" s="18" t="str">
        <x:v>SERVE</x:v>
      </x:c>
      <x:c r="D216" s="18" t="str">
        <x:v>交付</x:v>
      </x:c>
      <x:c r="E216" s="18" t="str">
        <x:v>可交付订单</x:v>
      </x:c>
      <x:c r="F216" s="18" t="str">
        <x:v>已完成菜品</x:v>
      </x:c>
      <x:c r="G216" s="18" t="str">
        <x:v>完成装盘→暂存/交接→按订单交付</x:v>
      </x:c>
      <x:c r="H216" s="18" t="str">
        <x:v>出餐点</x:v>
      </x:c>
      <x:c r="I216" s="18" t="str">
        <x:v>甜品盘</x:v>
      </x:c>
      <x:c r="J216" s="18" t="str">
        <x:v>FINAL</x:v>
      </x:c>
    </x:row>
    <x:row r="217" ht="64" customHeight="1">
      <x:c r="A217" s="18" t="str">
        <x:v>S09</x:v>
      </x:c>
      <x:c r="B217" s="18" t="str">
        <x:v>鲜果拼盘</x:v>
      </x:c>
      <x:c r="C217" s="18" t="str">
        <x:v>P11</x:v>
      </x:c>
      <x:c r="D217" s="18" t="str">
        <x:v>准备</x:v>
      </x:c>
      <x:c r="E217" s="18" t="str">
        <x:v>苹果块</x:v>
      </x:c>
      <x:c r="F217" s="18" t="str">
        <x:v>苹果×1</x:v>
      </x:c>
      <x:c r="G217" s="18" t="str">
        <x:v>苹果→切配→苹果块</x:v>
      </x:c>
      <x:c r="H217" s="18" t="str">
        <x:v>切配台</x:v>
      </x:c>
      <x:c r="I217" s="18" t="str">
        <x:v>备料盒</x:v>
      </x:c>
      <x:c r="J217" s="18" t="str">
        <x:v>供货：苹果</x:v>
      </x:c>
    </x:row>
    <x:row r="218" ht="64" customHeight="1">
      <x:c r="A218" s="18" t="str">
        <x:v>S09</x:v>
      </x:c>
      <x:c r="B218" s="18" t="str">
        <x:v>鲜果拼盘</x:v>
      </x:c>
      <x:c r="C218" s="18" t="str">
        <x:v>P12</x:v>
      </x:c>
      <x:c r="D218" s="18" t="str">
        <x:v>准备</x:v>
      </x:c>
      <x:c r="E218" s="18" t="str">
        <x:v>香蕉块</x:v>
      </x:c>
      <x:c r="F218" s="18" t="str">
        <x:v>香蕉×1</x:v>
      </x:c>
      <x:c r="G218" s="18" t="str">
        <x:v>香蕉→切配→香蕉块</x:v>
      </x:c>
      <x:c r="H218" s="18" t="str">
        <x:v>切配台</x:v>
      </x:c>
      <x:c r="I218" s="18" t="str">
        <x:v>备料盒</x:v>
      </x:c>
      <x:c r="J218" s="18" t="str">
        <x:v>供货：香蕉</x:v>
      </x:c>
    </x:row>
    <x:row r="219" ht="64" customHeight="1">
      <x:c r="A219" s="18" t="str">
        <x:v>S09</x:v>
      </x:c>
      <x:c r="B219" s="18" t="str">
        <x:v>鲜果拼盘</x:v>
      </x:c>
      <x:c r="C219" s="18" t="str">
        <x:v>P13</x:v>
      </x:c>
      <x:c r="D219" s="18" t="str">
        <x:v>准备</x:v>
      </x:c>
      <x:c r="E219" s="18" t="str">
        <x:v>草莓块</x:v>
      </x:c>
      <x:c r="F219" s="18" t="str">
        <x:v>草莓×1</x:v>
      </x:c>
      <x:c r="G219" s="18" t="str">
        <x:v>草莓→切配→草莓块</x:v>
      </x:c>
      <x:c r="H219" s="18" t="str">
        <x:v>切配台</x:v>
      </x:c>
      <x:c r="I219" s="18" t="str">
        <x:v>备料盒</x:v>
      </x:c>
      <x:c r="J219" s="18" t="str">
        <x:v>供货：草莓</x:v>
      </x:c>
    </x:row>
    <x:row r="220" ht="64" customHeight="1">
      <x:c r="A220" s="18" t="str">
        <x:v>S09</x:v>
      </x:c>
      <x:c r="B220" s="18" t="str">
        <x:v>鲜果拼盘</x:v>
      </x:c>
      <x:c r="C220" s="18" t="str">
        <x:v>FINAL</x:v>
      </x:c>
      <x:c r="D220" s="18" t="str">
        <x:v>成品</x:v>
      </x:c>
      <x:c r="E220" s="18" t="str">
        <x:v>三色果盘</x:v>
      </x:c>
      <x:c r="F220" s="18" t="str">
        <x:v>苹果块×1 + 香蕉块×1 + 草莓块×1</x:v>
      </x:c>
      <x:c r="G220" s="18" t="str">
        <x:v>三种切配水果→装盘</x:v>
      </x:c>
      <x:c r="H220" s="18" t="str">
        <x:v>组装台</x:v>
      </x:c>
      <x:c r="I220" s="18" t="str">
        <x:v>甜品盘</x:v>
      </x:c>
      <x:c r="J220" s="18" t="str">
        <x:v>P11 苹果块；P12 香蕉块；P13 草莓块</x:v>
      </x:c>
    </x:row>
    <x:row r="221" ht="64" customHeight="1">
      <x:c r="A221" s="18" t="str">
        <x:v>S09</x:v>
      </x:c>
      <x:c r="B221" s="18" t="str">
        <x:v>鲜果拼盘</x:v>
      </x:c>
      <x:c r="C221" s="18" t="str">
        <x:v>SERVE</x:v>
      </x:c>
      <x:c r="D221" s="18" t="str">
        <x:v>交付</x:v>
      </x:c>
      <x:c r="E221" s="18" t="str">
        <x:v>可交付订单</x:v>
      </x:c>
      <x:c r="F221" s="18" t="str">
        <x:v>已完成菜品</x:v>
      </x:c>
      <x:c r="G221" s="18" t="str">
        <x:v>完成装盘→暂存/交接→按订单交付</x:v>
      </x:c>
      <x:c r="H221" s="18" t="str">
        <x:v>出餐点</x:v>
      </x:c>
      <x:c r="I221" s="18" t="str">
        <x:v>甜品盘</x:v>
      </x:c>
      <x:c r="J221" s="18" t="str">
        <x:v>FINAL</x:v>
      </x:c>
    </x:row>
    <x:row r="222" ht="64" customHeight="1">
      <x:c r="A222" s="18" t="str">
        <x:v>S10</x:v>
      </x:c>
      <x:c r="B222" s="18" t="str">
        <x:v>苹果派</x:v>
      </x:c>
      <x:c r="C222" s="18" t="str">
        <x:v>P11</x:v>
      </x:c>
      <x:c r="D222" s="18" t="str">
        <x:v>准备</x:v>
      </x:c>
      <x:c r="E222" s="18" t="str">
        <x:v>苹果块</x:v>
      </x:c>
      <x:c r="F222" s="18" t="str">
        <x:v>苹果×1</x:v>
      </x:c>
      <x:c r="G222" s="18" t="str">
        <x:v>苹果→切配→苹果块</x:v>
      </x:c>
      <x:c r="H222" s="18" t="str">
        <x:v>切配台</x:v>
      </x:c>
      <x:c r="I222" s="18" t="str">
        <x:v>备料盒</x:v>
      </x:c>
      <x:c r="J222" s="18" t="str">
        <x:v>供货：苹果</x:v>
      </x:c>
    </x:row>
    <x:row r="223" ht="64" customHeight="1">
      <x:c r="A223" s="18" t="str">
        <x:v>S10</x:v>
      </x:c>
      <x:c r="B223" s="18" t="str">
        <x:v>苹果派</x:v>
      </x:c>
      <x:c r="C223" s="18" t="str">
        <x:v>P60</x:v>
      </x:c>
      <x:c r="D223" s="18" t="str">
        <x:v>准备</x:v>
      </x:c>
      <x:c r="E223" s="18" t="str">
        <x:v>苹果派馅</x:v>
      </x:c>
      <x:c r="F223" s="18" t="str">
        <x:v>苹果块×1 + 蜂蜜×1</x:v>
      </x:c>
      <x:c r="G223" s="18" t="str">
        <x:v>苹果块+蜂蜜→煎台短时熬制成馅</x:v>
      </x:c>
      <x:c r="H223" s="18" t="str">
        <x:v>煎台</x:v>
      </x:c>
      <x:c r="I223" s="18" t="str">
        <x:v>备料盆</x:v>
      </x:c>
      <x:c r="J223" s="18" t="str">
        <x:v>P11 苹果块；供货：蜂蜜</x:v>
      </x:c>
    </x:row>
    <x:row r="224" ht="64" customHeight="1">
      <x:c r="A224" s="18" t="str">
        <x:v>S10</x:v>
      </x:c>
      <x:c r="B224" s="18" t="str">
        <x:v>苹果派</x:v>
      </x:c>
      <x:c r="C224" s="18" t="str">
        <x:v>FINAL</x:v>
      </x:c>
      <x:c r="D224" s="18" t="str">
        <x:v>成品</x:v>
      </x:c>
      <x:c r="E224" s="18" t="str">
        <x:v>单份苹果派</x:v>
      </x:c>
      <x:c r="F224" s="18" t="str">
        <x:v>派皮×1 + 苹果派馅×1</x:v>
      </x:c>
      <x:c r="G224" s="18" t="str">
        <x:v>派皮+苹果馅→一次合拢成派→烤熟</x:v>
      </x:c>
      <x:c r="H224" s="18" t="str">
        <x:v>组装台、烤箱</x:v>
      </x:c>
      <x:c r="I224" s="18" t="str">
        <x:v>甜品盘</x:v>
      </x:c>
      <x:c r="J224" s="18" t="str">
        <x:v>供货：派皮；P60 苹果派馅</x:v>
      </x:c>
    </x:row>
    <x:row r="225" ht="64" customHeight="1">
      <x:c r="A225" s="18" t="str">
        <x:v>S10</x:v>
      </x:c>
      <x:c r="B225" s="18" t="str">
        <x:v>苹果派</x:v>
      </x:c>
      <x:c r="C225" s="18" t="str">
        <x:v>SERVE</x:v>
      </x:c>
      <x:c r="D225" s="18" t="str">
        <x:v>交付</x:v>
      </x:c>
      <x:c r="E225" s="18" t="str">
        <x:v>可交付订单</x:v>
      </x:c>
      <x:c r="F225" s="18" t="str">
        <x:v>已完成菜品</x:v>
      </x:c>
      <x:c r="G225" s="18" t="str">
        <x:v>完成装盘→暂存/交接→按订单交付</x:v>
      </x:c>
      <x:c r="H225" s="18" t="str">
        <x:v>出餐点</x:v>
      </x:c>
      <x:c r="I225" s="18" t="str">
        <x:v>甜品盘</x:v>
      </x:c>
      <x:c r="J225" s="18" t="str">
        <x:v>FINAL</x:v>
      </x:c>
    </x:row>
    <x:row r="226" ht="64" customHeight="1">
      <x:c r="A226" s="18" t="str">
        <x:v>S11</x:v>
      </x:c>
      <x:c r="B226" s="18" t="str">
        <x:v>烤棉花糖巧克力夹心饼</x:v>
      </x:c>
      <x:c r="C226" s="18" t="str">
        <x:v>FINAL</x:v>
      </x:c>
      <x:c r="D226" s="18" t="str">
        <x:v>成品</x:v>
      </x:c>
      <x:c r="E226" s="18" t="str">
        <x:v>可见棉花糖夹心</x:v>
      </x:c>
      <x:c r="F226" s="18" t="str">
        <x:v>棉花糖×1 + 巧克力块×1 + 饼干片×2</x:v>
      </x:c>
      <x:c r="G226" s="18" t="str">
        <x:v>棉花糖烤软→夹入巧克力与两片饼干</x:v>
      </x:c>
      <x:c r="H226" s="18" t="str">
        <x:v>烤架、组装台</x:v>
      </x:c>
      <x:c r="I226" s="18" t="str">
        <x:v>甜品盘</x:v>
      </x:c>
      <x:c r="J226" s="18" t="str">
        <x:v>供货：棉花糖；供货：巧克力块；供货：饼干片</x:v>
      </x:c>
    </x:row>
    <x:row r="227" ht="64" customHeight="1">
      <x:c r="A227" s="18" t="str">
        <x:v>S11</x:v>
      </x:c>
      <x:c r="B227" s="18" t="str">
        <x:v>烤棉花糖巧克力夹心饼</x:v>
      </x:c>
      <x:c r="C227" s="18" t="str">
        <x:v>SERVE</x:v>
      </x:c>
      <x:c r="D227" s="18" t="str">
        <x:v>交付</x:v>
      </x:c>
      <x:c r="E227" s="18" t="str">
        <x:v>可交付订单</x:v>
      </x:c>
      <x:c r="F227" s="18" t="str">
        <x:v>已完成菜品</x:v>
      </x:c>
      <x:c r="G227" s="18" t="str">
        <x:v>完成装盘→暂存/交接→按订单交付</x:v>
      </x:c>
      <x:c r="H227" s="18" t="str">
        <x:v>出餐点</x:v>
      </x:c>
      <x:c r="I227" s="18" t="str">
        <x:v>甜品盘</x:v>
      </x:c>
      <x:c r="J227" s="18" t="str">
        <x:v>FINAL</x:v>
      </x:c>
    </x:row>
    <x:row r="228" ht="64" customHeight="1">
      <x:c r="A228" s="18" t="str">
        <x:v>S12</x:v>
      </x:c>
      <x:c r="B228" s="18" t="str">
        <x:v>水果香草圣代</x:v>
      </x:c>
      <x:c r="C228" s="18" t="str">
        <x:v>P13</x:v>
      </x:c>
      <x:c r="D228" s="18" t="str">
        <x:v>准备</x:v>
      </x:c>
      <x:c r="E228" s="18" t="str">
        <x:v>草莓块</x:v>
      </x:c>
      <x:c r="F228" s="18" t="str">
        <x:v>草莓×1</x:v>
      </x:c>
      <x:c r="G228" s="18" t="str">
        <x:v>草莓→切配→草莓块</x:v>
      </x:c>
      <x:c r="H228" s="18" t="str">
        <x:v>切配台</x:v>
      </x:c>
      <x:c r="I228" s="18" t="str">
        <x:v>备料盒</x:v>
      </x:c>
      <x:c r="J228" s="18" t="str">
        <x:v>供货：草莓</x:v>
      </x:c>
    </x:row>
    <x:row r="229" ht="64" customHeight="1">
      <x:c r="A229" s="18" t="str">
        <x:v>S12</x:v>
      </x:c>
      <x:c r="B229" s="18" t="str">
        <x:v>水果香草圣代</x:v>
      </x:c>
      <x:c r="C229" s="18" t="str">
        <x:v>P12</x:v>
      </x:c>
      <x:c r="D229" s="18" t="str">
        <x:v>准备</x:v>
      </x:c>
      <x:c r="E229" s="18" t="str">
        <x:v>香蕉块</x:v>
      </x:c>
      <x:c r="F229" s="18" t="str">
        <x:v>香蕉×1</x:v>
      </x:c>
      <x:c r="G229" s="18" t="str">
        <x:v>香蕉→切配→香蕉块</x:v>
      </x:c>
      <x:c r="H229" s="18" t="str">
        <x:v>切配台</x:v>
      </x:c>
      <x:c r="I229" s="18" t="str">
        <x:v>备料盒</x:v>
      </x:c>
      <x:c r="J229" s="18" t="str">
        <x:v>供货：香蕉</x:v>
      </x:c>
    </x:row>
    <x:row r="230" ht="64" customHeight="1">
      <x:c r="A230" s="18" t="str">
        <x:v>S12</x:v>
      </x:c>
      <x:c r="B230" s="18" t="str">
        <x:v>水果香草圣代</x:v>
      </x:c>
      <x:c r="C230" s="18" t="str">
        <x:v>FINAL</x:v>
      </x:c>
      <x:c r="D230" s="18" t="str">
        <x:v>成品</x:v>
      </x:c>
      <x:c r="E230" s="18" t="str">
        <x:v>水果冰淇淋杯</x:v>
      </x:c>
      <x:c r="F230" s="18" t="str">
        <x:v>香草冰淇淋×1 + 草莓块×1 + 香蕉块×1 + 巧克力酱×1</x:v>
      </x:c>
      <x:c r="G230" s="18" t="str">
        <x:v>杯中取一份冰淇淋→加水果→淋酱</x:v>
      </x:c>
      <x:c r="H230" s="18" t="str">
        <x:v>组装台</x:v>
      </x:c>
      <x:c r="I230" s="18" t="str">
        <x:v>甜品杯</x:v>
      </x:c>
      <x:c r="J230" s="18" t="str">
        <x:v>供货：香草冰淇淋；P13 草莓块；P12 香蕉块；供货：巧克力酱</x:v>
      </x:c>
    </x:row>
    <x:row r="231" ht="64" customHeight="1">
      <x:c r="A231" s="18" t="str">
        <x:v>S12</x:v>
      </x:c>
      <x:c r="B231" s="18" t="str">
        <x:v>水果香草圣代</x:v>
      </x:c>
      <x:c r="C231" s="18" t="str">
        <x:v>SERVE</x:v>
      </x:c>
      <x:c r="D231" s="18" t="str">
        <x:v>交付</x:v>
      </x:c>
      <x:c r="E231" s="18" t="str">
        <x:v>可交付订单</x:v>
      </x:c>
      <x:c r="F231" s="18" t="str">
        <x:v>已完成菜品</x:v>
      </x:c>
      <x:c r="G231" s="18" t="str">
        <x:v>完成装盘→暂存/交接→按订单交付</x:v>
      </x:c>
      <x:c r="H231" s="18" t="str">
        <x:v>出餐点</x:v>
      </x:c>
      <x:c r="I231" s="18" t="str">
        <x:v>甜品杯</x:v>
      </x:c>
      <x:c r="J231" s="18" t="str">
        <x:v>FINAL</x:v>
      </x:c>
    </x:row>
    <x:row r="232" ht="64" customHeight="1">
      <x:c r="A232" s="18" t="str">
        <x:v>D01</x:v>
      </x:c>
      <x:c r="B232" s="18" t="str">
        <x:v>冰可乐</x:v>
      </x:c>
      <x:c r="C232" s="18" t="str">
        <x:v>P58</x:v>
      </x:c>
      <x:c r="D232" s="18" t="str">
        <x:v>准备</x:v>
      </x:c>
      <x:c r="E232" s="18" t="str">
        <x:v>可乐液</x:v>
      </x:c>
      <x:c r="F232" s="18" t="str">
        <x:v>可乐原液×1</x:v>
      </x:c>
      <x:c r="G232" s="18" t="str">
        <x:v>汽水机分装可乐</x:v>
      </x:c>
      <x:c r="H232" s="18" t="str">
        <x:v>汽水机</x:v>
      </x:c>
      <x:c r="I232" s="18" t="str">
        <x:v>饮品杯</x:v>
      </x:c>
      <x:c r="J232" s="18" t="str">
        <x:v>供货：可乐原液</x:v>
      </x:c>
    </x:row>
    <x:row r="233" ht="64" customHeight="1">
      <x:c r="A233" s="18" t="str">
        <x:v>D01</x:v>
      </x:c>
      <x:c r="B233" s="18" t="str">
        <x:v>冰可乐</x:v>
      </x:c>
      <x:c r="C233" s="18" t="str">
        <x:v>FINAL</x:v>
      </x:c>
      <x:c r="D233" s="18" t="str">
        <x:v>成品</x:v>
      </x:c>
      <x:c r="E233" s="18" t="str">
        <x:v>棕色气泡饮</x:v>
      </x:c>
      <x:c r="F233" s="18" t="str">
        <x:v>可乐液×1 + 冰块×1</x:v>
      </x:c>
      <x:c r="G233" s="18" t="str">
        <x:v>杯中加冰→接可乐</x:v>
      </x:c>
      <x:c r="H233" s="18" t="str">
        <x:v>调饮台</x:v>
      </x:c>
      <x:c r="I233" s="18" t="str">
        <x:v>透明冷饮杯</x:v>
      </x:c>
      <x:c r="J233" s="18" t="str">
        <x:v>P58 可乐液；供货：冰块</x:v>
      </x:c>
    </x:row>
    <x:row r="234" ht="64" customHeight="1">
      <x:c r="A234" s="18" t="str">
        <x:v>D01</x:v>
      </x:c>
      <x:c r="B234" s="18" t="str">
        <x:v>冰可乐</x:v>
      </x:c>
      <x:c r="C234" s="18" t="str">
        <x:v>SERVE</x:v>
      </x:c>
      <x:c r="D234" s="18" t="str">
        <x:v>交付</x:v>
      </x:c>
      <x:c r="E234" s="18" t="str">
        <x:v>可交付订单</x:v>
      </x:c>
      <x:c r="F234" s="18" t="str">
        <x:v>已完成菜品</x:v>
      </x:c>
      <x:c r="G234" s="18" t="str">
        <x:v>完成饮品→交给另一位玩家核对并贴单→交付</x:v>
      </x:c>
      <x:c r="H234" s="18" t="str">
        <x:v>贴单台</x:v>
      </x:c>
      <x:c r="I234" s="18" t="str">
        <x:v>透明冷饮杯</x:v>
      </x:c>
      <x:c r="J234" s="18" t="str">
        <x:v>FINAL</x:v>
      </x:c>
    </x:row>
    <x:row r="235" ht="64" customHeight="1">
      <x:c r="A235" s="18" t="str">
        <x:v>D02</x:v>
      </x:c>
      <x:c r="B235" s="18" t="str">
        <x:v>柠檬苏打</x:v>
      </x:c>
      <x:c r="C235" s="18" t="str">
        <x:v>P59</x:v>
      </x:c>
      <x:c r="D235" s="18" t="str">
        <x:v>准备</x:v>
      </x:c>
      <x:c r="E235" s="18" t="str">
        <x:v>苏打水</x:v>
      </x:c>
      <x:c r="F235" s="18" t="str">
        <x:v>苏打水原液×1</x:v>
      </x:c>
      <x:c r="G235" s="18" t="str">
        <x:v>汽水机分装苏打水</x:v>
      </x:c>
      <x:c r="H235" s="18" t="str">
        <x:v>汽水机</x:v>
      </x:c>
      <x:c r="I235" s="18" t="str">
        <x:v>饮品杯</x:v>
      </x:c>
      <x:c r="J235" s="18" t="str">
        <x:v>供货：苏打水原液</x:v>
      </x:c>
    </x:row>
    <x:row r="236" ht="64" customHeight="1">
      <x:c r="A236" s="18" t="str">
        <x:v>D02</x:v>
      </x:c>
      <x:c r="B236" s="18" t="str">
        <x:v>柠檬苏打</x:v>
      </x:c>
      <x:c r="C236" s="18" t="str">
        <x:v>P10</x:v>
      </x:c>
      <x:c r="D236" s="18" t="str">
        <x:v>准备</x:v>
      </x:c>
      <x:c r="E236" s="18" t="str">
        <x:v>柠檬片</x:v>
      </x:c>
      <x:c r="F236" s="18" t="str">
        <x:v>柠檬×1</x:v>
      </x:c>
      <x:c r="G236" s="18" t="str">
        <x:v>柠檬→切配→柠檬片</x:v>
      </x:c>
      <x:c r="H236" s="18" t="str">
        <x:v>切配台</x:v>
      </x:c>
      <x:c r="I236" s="18" t="str">
        <x:v>备料盒</x:v>
      </x:c>
      <x:c r="J236" s="18" t="str">
        <x:v>供货：柠檬</x:v>
      </x:c>
    </x:row>
    <x:row r="237" ht="64" customHeight="1">
      <x:c r="A237" s="18" t="str">
        <x:v>D02</x:v>
      </x:c>
      <x:c r="B237" s="18" t="str">
        <x:v>柠檬苏打</x:v>
      </x:c>
      <x:c r="C237" s="18" t="str">
        <x:v>P43</x:v>
      </x:c>
      <x:c r="D237" s="18" t="str">
        <x:v>准备</x:v>
      </x:c>
      <x:c r="E237" s="18" t="str">
        <x:v>柠檬汁</x:v>
      </x:c>
      <x:c r="F237" s="18" t="str">
        <x:v>柠檬片×1</x:v>
      </x:c>
      <x:c r="G237" s="18" t="str">
        <x:v>柠檬片→榨汁→柠檬汁</x:v>
      </x:c>
      <x:c r="H237" s="18" t="str">
        <x:v>榨汁机</x:v>
      </x:c>
      <x:c r="I237" s="18" t="str">
        <x:v>果汁壶</x:v>
      </x:c>
      <x:c r="J237" s="18" t="str">
        <x:v>P10 柠檬片</x:v>
      </x:c>
    </x:row>
    <x:row r="238" ht="64" customHeight="1">
      <x:c r="A238" s="18" t="str">
        <x:v>D02</x:v>
      </x:c>
      <x:c r="B238" s="18" t="str">
        <x:v>柠檬苏打</x:v>
      </x:c>
      <x:c r="C238" s="18" t="str">
        <x:v>FINAL</x:v>
      </x:c>
      <x:c r="D238" s="18" t="str">
        <x:v>成品</x:v>
      </x:c>
      <x:c r="E238" s="18" t="str">
        <x:v>浅色柠檬汽水</x:v>
      </x:c>
      <x:c r="F238" s="18" t="str">
        <x:v>苏打水×1 + 柠檬汁×1 + 糖浆×1 + 冰块×1</x:v>
      </x:c>
      <x:c r="G238" s="18" t="str">
        <x:v>柠檬汁+糖浆→混合→加冰→最后加苏打水</x:v>
      </x:c>
      <x:c r="H238" s="18" t="str">
        <x:v>调饮台</x:v>
      </x:c>
      <x:c r="I238" s="18" t="str">
        <x:v>透明冷饮杯</x:v>
      </x:c>
      <x:c r="J238" s="18" t="str">
        <x:v>P59 苏打水；P43 柠檬汁；供货：糖浆；供货：冰块</x:v>
      </x:c>
    </x:row>
    <x:row r="239" ht="64" customHeight="1">
      <x:c r="A239" s="18" t="str">
        <x:v>D02</x:v>
      </x:c>
      <x:c r="B239" s="18" t="str">
        <x:v>柠檬苏打</x:v>
      </x:c>
      <x:c r="C239" s="18" t="str">
        <x:v>SERVE</x:v>
      </x:c>
      <x:c r="D239" s="18" t="str">
        <x:v>交付</x:v>
      </x:c>
      <x:c r="E239" s="18" t="str">
        <x:v>可交付订单</x:v>
      </x:c>
      <x:c r="F239" s="18" t="str">
        <x:v>已完成菜品</x:v>
      </x:c>
      <x:c r="G239" s="18" t="str">
        <x:v>完成饮品→交给另一位玩家核对并贴单→交付</x:v>
      </x:c>
      <x:c r="H239" s="18" t="str">
        <x:v>贴单台</x:v>
      </x:c>
      <x:c r="I239" s="18" t="str">
        <x:v>透明冷饮杯</x:v>
      </x:c>
      <x:c r="J239" s="18" t="str">
        <x:v>FINAL</x:v>
      </x:c>
    </x:row>
    <x:row r="240" ht="64" customHeight="1">
      <x:c r="A240" s="18" t="str">
        <x:v>D03</x:v>
      </x:c>
      <x:c r="B240" s="18" t="str">
        <x:v>橙味苏打</x:v>
      </x:c>
      <x:c r="C240" s="18" t="str">
        <x:v>P59</x:v>
      </x:c>
      <x:c r="D240" s="18" t="str">
        <x:v>准备</x:v>
      </x:c>
      <x:c r="E240" s="18" t="str">
        <x:v>苏打水</x:v>
      </x:c>
      <x:c r="F240" s="18" t="str">
        <x:v>苏打水原液×1</x:v>
      </x:c>
      <x:c r="G240" s="18" t="str">
        <x:v>汽水机分装苏打水</x:v>
      </x:c>
      <x:c r="H240" s="18" t="str">
        <x:v>汽水机</x:v>
      </x:c>
      <x:c r="I240" s="18" t="str">
        <x:v>饮品杯</x:v>
      </x:c>
      <x:c r="J240" s="18" t="str">
        <x:v>供货：苏打水原液</x:v>
      </x:c>
    </x:row>
    <x:row r="241" ht="64" customHeight="1">
      <x:c r="A241" s="18" t="str">
        <x:v>D03</x:v>
      </x:c>
      <x:c r="B241" s="18" t="str">
        <x:v>橙味苏打</x:v>
      </x:c>
      <x:c r="C241" s="18" t="str">
        <x:v>P09</x:v>
      </x:c>
      <x:c r="D241" s="18" t="str">
        <x:v>准备</x:v>
      </x:c>
      <x:c r="E241" s="18" t="str">
        <x:v>橙块</x:v>
      </x:c>
      <x:c r="F241" s="18" t="str">
        <x:v>橙子×1</x:v>
      </x:c>
      <x:c r="G241" s="18" t="str">
        <x:v>橙子→切配→橙块</x:v>
      </x:c>
      <x:c r="H241" s="18" t="str">
        <x:v>切配台</x:v>
      </x:c>
      <x:c r="I241" s="18" t="str">
        <x:v>备料盒</x:v>
      </x:c>
      <x:c r="J241" s="18" t="str">
        <x:v>供货：橙子</x:v>
      </x:c>
    </x:row>
    <x:row r="242" ht="64" customHeight="1">
      <x:c r="A242" s="18" t="str">
        <x:v>D03</x:v>
      </x:c>
      <x:c r="B242" s="18" t="str">
        <x:v>橙味苏打</x:v>
      </x:c>
      <x:c r="C242" s="18" t="str">
        <x:v>P42</x:v>
      </x:c>
      <x:c r="D242" s="18" t="str">
        <x:v>准备</x:v>
      </x:c>
      <x:c r="E242" s="18" t="str">
        <x:v>橙汁</x:v>
      </x:c>
      <x:c r="F242" s="18" t="str">
        <x:v>橙块×1</x:v>
      </x:c>
      <x:c r="G242" s="18" t="str">
        <x:v>橙块→榨汁→橙汁</x:v>
      </x:c>
      <x:c r="H242" s="18" t="str">
        <x:v>榨汁机</x:v>
      </x:c>
      <x:c r="I242" s="18" t="str">
        <x:v>果汁壶</x:v>
      </x:c>
      <x:c r="J242" s="18" t="str">
        <x:v>P09 橙块</x:v>
      </x:c>
    </x:row>
    <x:row r="243" ht="64" customHeight="1">
      <x:c r="A243" s="18" t="str">
        <x:v>D03</x:v>
      </x:c>
      <x:c r="B243" s="18" t="str">
        <x:v>橙味苏打</x:v>
      </x:c>
      <x:c r="C243" s="18" t="str">
        <x:v>FINAL</x:v>
      </x:c>
      <x:c r="D243" s="18" t="str">
        <x:v>成品</x:v>
      </x:c>
      <x:c r="E243" s="18" t="str">
        <x:v>橙色气泡饮</x:v>
      </x:c>
      <x:c r="F243" s="18" t="str">
        <x:v>苏打水×1 + 橙汁×1 + 冰块×1</x:v>
      </x:c>
      <x:c r="G243" s="18" t="str">
        <x:v>橙汁入杯→加冰→最后加苏打水</x:v>
      </x:c>
      <x:c r="H243" s="18" t="str">
        <x:v>调饮台</x:v>
      </x:c>
      <x:c r="I243" s="18" t="str">
        <x:v>透明冷饮杯</x:v>
      </x:c>
      <x:c r="J243" s="18" t="str">
        <x:v>P59 苏打水；P42 橙汁；供货：冰块</x:v>
      </x:c>
    </x:row>
    <x:row r="244" ht="64" customHeight="1">
      <x:c r="A244" s="18" t="str">
        <x:v>D03</x:v>
      </x:c>
      <x:c r="B244" s="18" t="str">
        <x:v>橙味苏打</x:v>
      </x:c>
      <x:c r="C244" s="18" t="str">
        <x:v>SERVE</x:v>
      </x:c>
      <x:c r="D244" s="18" t="str">
        <x:v>交付</x:v>
      </x:c>
      <x:c r="E244" s="18" t="str">
        <x:v>可交付订单</x:v>
      </x:c>
      <x:c r="F244" s="18" t="str">
        <x:v>已完成菜品</x:v>
      </x:c>
      <x:c r="G244" s="18" t="str">
        <x:v>完成饮品→交给另一位玩家核对并贴单→交付</x:v>
      </x:c>
      <x:c r="H244" s="18" t="str">
        <x:v>贴单台</x:v>
      </x:c>
      <x:c r="I244" s="18" t="str">
        <x:v>透明冷饮杯</x:v>
      </x:c>
      <x:c r="J244" s="18" t="str">
        <x:v>FINAL</x:v>
      </x:c>
    </x:row>
    <x:row r="245" ht="64" customHeight="1">
      <x:c r="A245" s="18" t="str">
        <x:v>D04</x:v>
      </x:c>
      <x:c r="B245" s="18" t="str">
        <x:v>鲜榨橙汁</x:v>
      </x:c>
      <x:c r="C245" s="18" t="str">
        <x:v>P09</x:v>
      </x:c>
      <x:c r="D245" s="18" t="str">
        <x:v>准备</x:v>
      </x:c>
      <x:c r="E245" s="18" t="str">
        <x:v>橙块</x:v>
      </x:c>
      <x:c r="F245" s="18" t="str">
        <x:v>橙子×1</x:v>
      </x:c>
      <x:c r="G245" s="18" t="str">
        <x:v>橙子→切配→橙块</x:v>
      </x:c>
      <x:c r="H245" s="18" t="str">
        <x:v>切配台</x:v>
      </x:c>
      <x:c r="I245" s="18" t="str">
        <x:v>备料盒</x:v>
      </x:c>
      <x:c r="J245" s="18" t="str">
        <x:v>供货：橙子</x:v>
      </x:c>
    </x:row>
    <x:row r="246" ht="64" customHeight="1">
      <x:c r="A246" s="18" t="str">
        <x:v>D04</x:v>
      </x:c>
      <x:c r="B246" s="18" t="str">
        <x:v>鲜榨橙汁</x:v>
      </x:c>
      <x:c r="C246" s="18" t="str">
        <x:v>P42</x:v>
      </x:c>
      <x:c r="D246" s="18" t="str">
        <x:v>准备</x:v>
      </x:c>
      <x:c r="E246" s="18" t="str">
        <x:v>橙汁</x:v>
      </x:c>
      <x:c r="F246" s="18" t="str">
        <x:v>橙块×1</x:v>
      </x:c>
      <x:c r="G246" s="18" t="str">
        <x:v>橙块→榨汁→橙汁</x:v>
      </x:c>
      <x:c r="H246" s="18" t="str">
        <x:v>榨汁机</x:v>
      </x:c>
      <x:c r="I246" s="18" t="str">
        <x:v>果汁壶</x:v>
      </x:c>
      <x:c r="J246" s="18" t="str">
        <x:v>P09 橙块</x:v>
      </x:c>
    </x:row>
    <x:row r="247" ht="64" customHeight="1">
      <x:c r="A247" s="18" t="str">
        <x:v>D04</x:v>
      </x:c>
      <x:c r="B247" s="18" t="str">
        <x:v>鲜榨橙汁</x:v>
      </x:c>
      <x:c r="C247" s="18" t="str">
        <x:v>FINAL</x:v>
      </x:c>
      <x:c r="D247" s="18" t="str">
        <x:v>成品</x:v>
      </x:c>
      <x:c r="E247" s="18" t="str">
        <x:v>橙色果汁</x:v>
      </x:c>
      <x:c r="F247" s="18" t="str">
        <x:v>橙汁×1</x:v>
      </x:c>
      <x:c r="G247" s="18" t="str">
        <x:v>将鲜榨橙汁分装入杯</x:v>
      </x:c>
      <x:c r="H247" s="18" t="str">
        <x:v>调饮台</x:v>
      </x:c>
      <x:c r="I247" s="18" t="str">
        <x:v>透明冷饮杯</x:v>
      </x:c>
      <x:c r="J247" s="18" t="str">
        <x:v>P42 橙汁</x:v>
      </x:c>
    </x:row>
    <x:row r="248" ht="64" customHeight="1">
      <x:c r="A248" s="18" t="str">
        <x:v>D04</x:v>
      </x:c>
      <x:c r="B248" s="18" t="str">
        <x:v>鲜榨橙汁</x:v>
      </x:c>
      <x:c r="C248" s="18" t="str">
        <x:v>SERVE</x:v>
      </x:c>
      <x:c r="D248" s="18" t="str">
        <x:v>交付</x:v>
      </x:c>
      <x:c r="E248" s="18" t="str">
        <x:v>可交付订单</x:v>
      </x:c>
      <x:c r="F248" s="18" t="str">
        <x:v>已完成菜品</x:v>
      </x:c>
      <x:c r="G248" s="18" t="str">
        <x:v>完成饮品→交给另一位玩家核对并贴单→交付</x:v>
      </x:c>
      <x:c r="H248" s="18" t="str">
        <x:v>贴单台</x:v>
      </x:c>
      <x:c r="I248" s="18" t="str">
        <x:v>透明冷饮杯</x:v>
      </x:c>
      <x:c r="J248" s="18" t="str">
        <x:v>FINAL</x:v>
      </x:c>
    </x:row>
    <x:row r="249" ht="64" customHeight="1">
      <x:c r="A249" s="18" t="str">
        <x:v>D05</x:v>
      </x:c>
      <x:c r="B249" s="18" t="str">
        <x:v>蜂蜜柠檬水</x:v>
      </x:c>
      <x:c r="C249" s="18" t="str">
        <x:v>P10</x:v>
      </x:c>
      <x:c r="D249" s="18" t="str">
        <x:v>准备</x:v>
      </x:c>
      <x:c r="E249" s="18" t="str">
        <x:v>柠檬片</x:v>
      </x:c>
      <x:c r="F249" s="18" t="str">
        <x:v>柠檬×1</x:v>
      </x:c>
      <x:c r="G249" s="18" t="str">
        <x:v>柠檬→切配→柠檬片</x:v>
      </x:c>
      <x:c r="H249" s="18" t="str">
        <x:v>切配台</x:v>
      </x:c>
      <x:c r="I249" s="18" t="str">
        <x:v>备料盒</x:v>
      </x:c>
      <x:c r="J249" s="18" t="str">
        <x:v>供货：柠檬</x:v>
      </x:c>
    </x:row>
    <x:row r="250" ht="64" customHeight="1">
      <x:c r="A250" s="18" t="str">
        <x:v>D05</x:v>
      </x:c>
      <x:c r="B250" s="18" t="str">
        <x:v>蜂蜜柠檬水</x:v>
      </x:c>
      <x:c r="C250" s="18" t="str">
        <x:v>P43</x:v>
      </x:c>
      <x:c r="D250" s="18" t="str">
        <x:v>准备</x:v>
      </x:c>
      <x:c r="E250" s="18" t="str">
        <x:v>柠檬汁</x:v>
      </x:c>
      <x:c r="F250" s="18" t="str">
        <x:v>柠檬片×1</x:v>
      </x:c>
      <x:c r="G250" s="18" t="str">
        <x:v>柠檬片→榨汁→柠檬汁</x:v>
      </x:c>
      <x:c r="H250" s="18" t="str">
        <x:v>榨汁机</x:v>
      </x:c>
      <x:c r="I250" s="18" t="str">
        <x:v>果汁壶</x:v>
      </x:c>
      <x:c r="J250" s="18" t="str">
        <x:v>P10 柠檬片</x:v>
      </x:c>
    </x:row>
    <x:row r="251" ht="64" customHeight="1">
      <x:c r="A251" s="18" t="str">
        <x:v>D05</x:v>
      </x:c>
      <x:c r="B251" s="18" t="str">
        <x:v>蜂蜜柠檬水</x:v>
      </x:c>
      <x:c r="C251" s="18" t="str">
        <x:v>FINAL</x:v>
      </x:c>
      <x:c r="D251" s="18" t="str">
        <x:v>成品</x:v>
      </x:c>
      <x:c r="E251" s="18" t="str">
        <x:v>浅黄色冰饮</x:v>
      </x:c>
      <x:c r="F251" s="18" t="str">
        <x:v>柠檬汁×1 + 蜂蜜×1 + 饮用水×2 + 冰块×1</x:v>
      </x:c>
      <x:c r="G251" s="18" t="str">
        <x:v>柠檬汁+蜂蜜+水→混合→加冰</x:v>
      </x:c>
      <x:c r="H251" s="18" t="str">
        <x:v>调饮台</x:v>
      </x:c>
      <x:c r="I251" s="18" t="str">
        <x:v>透明冷饮杯</x:v>
      </x:c>
      <x:c r="J251" s="18" t="str">
        <x:v>P43 柠檬汁；供货：蜂蜜；供货：饮用水；供货：冰块</x:v>
      </x:c>
    </x:row>
    <x:row r="252" ht="64" customHeight="1">
      <x:c r="A252" s="18" t="str">
        <x:v>D05</x:v>
      </x:c>
      <x:c r="B252" s="18" t="str">
        <x:v>蜂蜜柠檬水</x:v>
      </x:c>
      <x:c r="C252" s="18" t="str">
        <x:v>SERVE</x:v>
      </x:c>
      <x:c r="D252" s="18" t="str">
        <x:v>交付</x:v>
      </x:c>
      <x:c r="E252" s="18" t="str">
        <x:v>可交付订单</x:v>
      </x:c>
      <x:c r="F252" s="18" t="str">
        <x:v>已完成菜品</x:v>
      </x:c>
      <x:c r="G252" s="18" t="str">
        <x:v>完成饮品→交给另一位玩家核对并贴单→交付</x:v>
      </x:c>
      <x:c r="H252" s="18" t="str">
        <x:v>贴单台</x:v>
      </x:c>
      <x:c r="I252" s="18" t="str">
        <x:v>透明冷饮杯</x:v>
      </x:c>
      <x:c r="J252" s="18" t="str">
        <x:v>FINAL</x:v>
      </x:c>
    </x:row>
    <x:row r="253" ht="64" customHeight="1">
      <x:c r="A253" s="18" t="str">
        <x:v>D06</x:v>
      </x:c>
      <x:c r="B253" s="18" t="str">
        <x:v>橙柠双果汁</x:v>
      </x:c>
      <x:c r="C253" s="18" t="str">
        <x:v>P09</x:v>
      </x:c>
      <x:c r="D253" s="18" t="str">
        <x:v>准备</x:v>
      </x:c>
      <x:c r="E253" s="18" t="str">
        <x:v>橙块</x:v>
      </x:c>
      <x:c r="F253" s="18" t="str">
        <x:v>橙子×1</x:v>
      </x:c>
      <x:c r="G253" s="18" t="str">
        <x:v>橙子→切配→橙块</x:v>
      </x:c>
      <x:c r="H253" s="18" t="str">
        <x:v>切配台</x:v>
      </x:c>
      <x:c r="I253" s="18" t="str">
        <x:v>备料盒</x:v>
      </x:c>
      <x:c r="J253" s="18" t="str">
        <x:v>供货：橙子</x:v>
      </x:c>
    </x:row>
    <x:row r="254" ht="64" customHeight="1">
      <x:c r="A254" s="18" t="str">
        <x:v>D06</x:v>
      </x:c>
      <x:c r="B254" s="18" t="str">
        <x:v>橙柠双果汁</x:v>
      </x:c>
      <x:c r="C254" s="18" t="str">
        <x:v>P42</x:v>
      </x:c>
      <x:c r="D254" s="18" t="str">
        <x:v>准备</x:v>
      </x:c>
      <x:c r="E254" s="18" t="str">
        <x:v>橙汁</x:v>
      </x:c>
      <x:c r="F254" s="18" t="str">
        <x:v>橙块×1</x:v>
      </x:c>
      <x:c r="G254" s="18" t="str">
        <x:v>橙块→榨汁→橙汁</x:v>
      </x:c>
      <x:c r="H254" s="18" t="str">
        <x:v>榨汁机</x:v>
      </x:c>
      <x:c r="I254" s="18" t="str">
        <x:v>果汁壶</x:v>
      </x:c>
      <x:c r="J254" s="18" t="str">
        <x:v>P09 橙块</x:v>
      </x:c>
    </x:row>
    <x:row r="255" ht="64" customHeight="1">
      <x:c r="A255" s="18" t="str">
        <x:v>D06</x:v>
      </x:c>
      <x:c r="B255" s="18" t="str">
        <x:v>橙柠双果汁</x:v>
      </x:c>
      <x:c r="C255" s="18" t="str">
        <x:v>P10</x:v>
      </x:c>
      <x:c r="D255" s="18" t="str">
        <x:v>准备</x:v>
      </x:c>
      <x:c r="E255" s="18" t="str">
        <x:v>柠檬片</x:v>
      </x:c>
      <x:c r="F255" s="18" t="str">
        <x:v>柠檬×1</x:v>
      </x:c>
      <x:c r="G255" s="18" t="str">
        <x:v>柠檬→切配→柠檬片</x:v>
      </x:c>
      <x:c r="H255" s="18" t="str">
        <x:v>切配台</x:v>
      </x:c>
      <x:c r="I255" s="18" t="str">
        <x:v>备料盒</x:v>
      </x:c>
      <x:c r="J255" s="18" t="str">
        <x:v>供货：柠檬</x:v>
      </x:c>
    </x:row>
    <x:row r="256" ht="64" customHeight="1">
      <x:c r="A256" s="18" t="str">
        <x:v>D06</x:v>
      </x:c>
      <x:c r="B256" s="18" t="str">
        <x:v>橙柠双果汁</x:v>
      </x:c>
      <x:c r="C256" s="18" t="str">
        <x:v>P43</x:v>
      </x:c>
      <x:c r="D256" s="18" t="str">
        <x:v>准备</x:v>
      </x:c>
      <x:c r="E256" s="18" t="str">
        <x:v>柠檬汁</x:v>
      </x:c>
      <x:c r="F256" s="18" t="str">
        <x:v>柠檬片×1</x:v>
      </x:c>
      <x:c r="G256" s="18" t="str">
        <x:v>柠檬片→榨汁→柠檬汁</x:v>
      </x:c>
      <x:c r="H256" s="18" t="str">
        <x:v>榨汁机</x:v>
      </x:c>
      <x:c r="I256" s="18" t="str">
        <x:v>果汁壶</x:v>
      </x:c>
      <x:c r="J256" s="18" t="str">
        <x:v>P10 柠檬片</x:v>
      </x:c>
    </x:row>
    <x:row r="257" ht="64" customHeight="1">
      <x:c r="A257" s="18" t="str">
        <x:v>D06</x:v>
      </x:c>
      <x:c r="B257" s="18" t="str">
        <x:v>橙柠双果汁</x:v>
      </x:c>
      <x:c r="C257" s="18" t="str">
        <x:v>FINAL</x:v>
      </x:c>
      <x:c r="D257" s="18" t="str">
        <x:v>成品</x:v>
      </x:c>
      <x:c r="E257" s="18" t="str">
        <x:v>橙柠混合汁</x:v>
      </x:c>
      <x:c r="F257" s="18" t="str">
        <x:v>橙汁×1 + 柠檬汁×1 + 冰块×1</x:v>
      </x:c>
      <x:c r="G257" s="18" t="str">
        <x:v>橙汁+柠檬汁→混合→加冰</x:v>
      </x:c>
      <x:c r="H257" s="18" t="str">
        <x:v>调饮台</x:v>
      </x:c>
      <x:c r="I257" s="18" t="str">
        <x:v>透明冷饮杯</x:v>
      </x:c>
      <x:c r="J257" s="18" t="str">
        <x:v>P42 橙汁；P43 柠檬汁；供货：冰块</x:v>
      </x:c>
    </x:row>
    <x:row r="258" ht="64" customHeight="1">
      <x:c r="A258" s="18" t="str">
        <x:v>D06</x:v>
      </x:c>
      <x:c r="B258" s="18" t="str">
        <x:v>橙柠双果汁</x:v>
      </x:c>
      <x:c r="C258" s="18" t="str">
        <x:v>SERVE</x:v>
      </x:c>
      <x:c r="D258" s="18" t="str">
        <x:v>交付</x:v>
      </x:c>
      <x:c r="E258" s="18" t="str">
        <x:v>可交付订单</x:v>
      </x:c>
      <x:c r="F258" s="18" t="str">
        <x:v>已完成菜品</x:v>
      </x:c>
      <x:c r="G258" s="18" t="str">
        <x:v>完成饮品→交给另一位玩家核对并贴单→交付</x:v>
      </x:c>
      <x:c r="H258" s="18" t="str">
        <x:v>贴单台</x:v>
      </x:c>
      <x:c r="I258" s="18" t="str">
        <x:v>透明冷饮杯</x:v>
      </x:c>
      <x:c r="J258" s="18" t="str">
        <x:v>FINAL</x:v>
      </x:c>
    </x:row>
    <x:row r="259" ht="64" customHeight="1">
      <x:c r="A259" s="18" t="str">
        <x:v>D07</x:v>
      </x:c>
      <x:c r="B259" s="18" t="str">
        <x:v>胡萝卜苹果汁</x:v>
      </x:c>
      <x:c r="C259" s="18" t="str">
        <x:v>P06</x:v>
      </x:c>
      <x:c r="D259" s="18" t="str">
        <x:v>准备</x:v>
      </x:c>
      <x:c r="E259" s="18" t="str">
        <x:v>胡萝卜块</x:v>
      </x:c>
      <x:c r="F259" s="18" t="str">
        <x:v>胡萝卜×1</x:v>
      </x:c>
      <x:c r="G259" s="18" t="str">
        <x:v>胡萝卜→切配→胡萝卜块</x:v>
      </x:c>
      <x:c r="H259" s="18" t="str">
        <x:v>切配台</x:v>
      </x:c>
      <x:c r="I259" s="18" t="str">
        <x:v>备料盒</x:v>
      </x:c>
      <x:c r="J259" s="18" t="str">
        <x:v>供货：胡萝卜</x:v>
      </x:c>
    </x:row>
    <x:row r="260" ht="64" customHeight="1">
      <x:c r="A260" s="18" t="str">
        <x:v>D07</x:v>
      </x:c>
      <x:c r="B260" s="18" t="str">
        <x:v>胡萝卜苹果汁</x:v>
      </x:c>
      <x:c r="C260" s="18" t="str">
        <x:v>P44</x:v>
      </x:c>
      <x:c r="D260" s="18" t="str">
        <x:v>准备</x:v>
      </x:c>
      <x:c r="E260" s="18" t="str">
        <x:v>胡萝卜汁</x:v>
      </x:c>
      <x:c r="F260" s="18" t="str">
        <x:v>胡萝卜块×1</x:v>
      </x:c>
      <x:c r="G260" s="18" t="str">
        <x:v>胡萝卜块→榨汁→胡萝卜汁</x:v>
      </x:c>
      <x:c r="H260" s="18" t="str">
        <x:v>榨汁机</x:v>
      </x:c>
      <x:c r="I260" s="18" t="str">
        <x:v>果汁壶</x:v>
      </x:c>
      <x:c r="J260" s="18" t="str">
        <x:v>P06 胡萝卜块</x:v>
      </x:c>
    </x:row>
    <x:row r="261" ht="64" customHeight="1">
      <x:c r="A261" s="18" t="str">
        <x:v>D07</x:v>
      </x:c>
      <x:c r="B261" s="18" t="str">
        <x:v>胡萝卜苹果汁</x:v>
      </x:c>
      <x:c r="C261" s="18" t="str">
        <x:v>P11</x:v>
      </x:c>
      <x:c r="D261" s="18" t="str">
        <x:v>准备</x:v>
      </x:c>
      <x:c r="E261" s="18" t="str">
        <x:v>苹果块</x:v>
      </x:c>
      <x:c r="F261" s="18" t="str">
        <x:v>苹果×1</x:v>
      </x:c>
      <x:c r="G261" s="18" t="str">
        <x:v>苹果→切配→苹果块</x:v>
      </x:c>
      <x:c r="H261" s="18" t="str">
        <x:v>切配台</x:v>
      </x:c>
      <x:c r="I261" s="18" t="str">
        <x:v>备料盒</x:v>
      </x:c>
      <x:c r="J261" s="18" t="str">
        <x:v>供货：苹果</x:v>
      </x:c>
    </x:row>
    <x:row r="262" ht="64" customHeight="1">
      <x:c r="A262" s="18" t="str">
        <x:v>D07</x:v>
      </x:c>
      <x:c r="B262" s="18" t="str">
        <x:v>胡萝卜苹果汁</x:v>
      </x:c>
      <x:c r="C262" s="18" t="str">
        <x:v>P45</x:v>
      </x:c>
      <x:c r="D262" s="18" t="str">
        <x:v>准备</x:v>
      </x:c>
      <x:c r="E262" s="18" t="str">
        <x:v>苹果汁</x:v>
      </x:c>
      <x:c r="F262" s="18" t="str">
        <x:v>苹果块×1</x:v>
      </x:c>
      <x:c r="G262" s="18" t="str">
        <x:v>苹果块→榨汁→苹果汁</x:v>
      </x:c>
      <x:c r="H262" s="18" t="str">
        <x:v>榨汁机</x:v>
      </x:c>
      <x:c r="I262" s="18" t="str">
        <x:v>果汁壶</x:v>
      </x:c>
      <x:c r="J262" s="18" t="str">
        <x:v>P11 苹果块</x:v>
      </x:c>
    </x:row>
    <x:row r="263" ht="64" customHeight="1">
      <x:c r="A263" s="18" t="str">
        <x:v>D07</x:v>
      </x:c>
      <x:c r="B263" s="18" t="str">
        <x:v>胡萝卜苹果汁</x:v>
      </x:c>
      <x:c r="C263" s="18" t="str">
        <x:v>FINAL</x:v>
      </x:c>
      <x:c r="D263" s="18" t="str">
        <x:v>成品</x:v>
      </x:c>
      <x:c r="E263" s="18" t="str">
        <x:v>橙黄色果蔬汁</x:v>
      </x:c>
      <x:c r="F263" s="18" t="str">
        <x:v>胡萝卜汁×1 + 苹果汁×1</x:v>
      </x:c>
      <x:c r="G263" s="18" t="str">
        <x:v>胡萝卜汁+苹果汁→混合→装杯</x:v>
      </x:c>
      <x:c r="H263" s="18" t="str">
        <x:v>调饮台</x:v>
      </x:c>
      <x:c r="I263" s="18" t="str">
        <x:v>透明冷饮杯</x:v>
      </x:c>
      <x:c r="J263" s="18" t="str">
        <x:v>P44 胡萝卜汁；P45 苹果汁</x:v>
      </x:c>
    </x:row>
    <x:row r="264" ht="64" customHeight="1">
      <x:c r="A264" s="18" t="str">
        <x:v>D07</x:v>
      </x:c>
      <x:c r="B264" s="18" t="str">
        <x:v>胡萝卜苹果汁</x:v>
      </x:c>
      <x:c r="C264" s="18" t="str">
        <x:v>SERVE</x:v>
      </x:c>
      <x:c r="D264" s="18" t="str">
        <x:v>交付</x:v>
      </x:c>
      <x:c r="E264" s="18" t="str">
        <x:v>可交付订单</x:v>
      </x:c>
      <x:c r="F264" s="18" t="str">
        <x:v>已完成菜品</x:v>
      </x:c>
      <x:c r="G264" s="18" t="str">
        <x:v>完成饮品→交给另一位玩家核对并贴单→交付</x:v>
      </x:c>
      <x:c r="H264" s="18" t="str">
        <x:v>贴单台</x:v>
      </x:c>
      <x:c r="I264" s="18" t="str">
        <x:v>透明冷饮杯</x:v>
      </x:c>
      <x:c r="J264" s="18" t="str">
        <x:v>FINAL</x:v>
      </x:c>
    </x:row>
    <x:row r="265" ht="64" customHeight="1">
      <x:c r="A265" s="18" t="str">
        <x:v>D08</x:v>
      </x:c>
      <x:c r="B265" s="18" t="str">
        <x:v>香蕉奶昔</x:v>
      </x:c>
      <x:c r="C265" s="18" t="str">
        <x:v>P12</x:v>
      </x:c>
      <x:c r="D265" s="18" t="str">
        <x:v>准备</x:v>
      </x:c>
      <x:c r="E265" s="18" t="str">
        <x:v>香蕉块</x:v>
      </x:c>
      <x:c r="F265" s="18" t="str">
        <x:v>香蕉×1</x:v>
      </x:c>
      <x:c r="G265" s="18" t="str">
        <x:v>香蕉→切配→香蕉块</x:v>
      </x:c>
      <x:c r="H265" s="18" t="str">
        <x:v>切配台</x:v>
      </x:c>
      <x:c r="I265" s="18" t="str">
        <x:v>备料盒</x:v>
      </x:c>
      <x:c r="J265" s="18" t="str">
        <x:v>供货：香蕉</x:v>
      </x:c>
    </x:row>
    <x:row r="266" ht="64" customHeight="1">
      <x:c r="A266" s="18" t="str">
        <x:v>D08</x:v>
      </x:c>
      <x:c r="B266" s="18" t="str">
        <x:v>香蕉奶昔</x:v>
      </x:c>
      <x:c r="C266" s="18" t="str">
        <x:v>FINAL</x:v>
      </x:c>
      <x:c r="D266" s="18" t="str">
        <x:v>成品</x:v>
      </x:c>
      <x:c r="E266" s="18" t="str">
        <x:v>浅黄色浓稠奶昔</x:v>
      </x:c>
      <x:c r="F266" s="18" t="str">
        <x:v>香蕉块×1 + 牛奶×1 + 香草冰淇淋×1</x:v>
      </x:c>
      <x:c r="G266" s="18" t="str">
        <x:v>香蕉+牛奶+冰淇淋→搅打→倒杯</x:v>
      </x:c>
      <x:c r="H266" s="18" t="str">
        <x:v>搅打机</x:v>
      </x:c>
      <x:c r="I266" s="18" t="str">
        <x:v>透明冷饮杯</x:v>
      </x:c>
      <x:c r="J266" s="18" t="str">
        <x:v>P12 香蕉块；供货：牛奶；供货：香草冰淇淋</x:v>
      </x:c>
    </x:row>
    <x:row r="267" ht="64" customHeight="1">
      <x:c r="A267" s="18" t="str">
        <x:v>D08</x:v>
      </x:c>
      <x:c r="B267" s="18" t="str">
        <x:v>香蕉奶昔</x:v>
      </x:c>
      <x:c r="C267" s="18" t="str">
        <x:v>SERVE</x:v>
      </x:c>
      <x:c r="D267" s="18" t="str">
        <x:v>交付</x:v>
      </x:c>
      <x:c r="E267" s="18" t="str">
        <x:v>可交付订单</x:v>
      </x:c>
      <x:c r="F267" s="18" t="str">
        <x:v>已完成菜品</x:v>
      </x:c>
      <x:c r="G267" s="18" t="str">
        <x:v>完成饮品→交给另一位玩家核对并贴单→交付</x:v>
      </x:c>
      <x:c r="H267" s="18" t="str">
        <x:v>贴单台</x:v>
      </x:c>
      <x:c r="I267" s="18" t="str">
        <x:v>透明冷饮杯</x:v>
      </x:c>
      <x:c r="J267" s="18" t="str">
        <x:v>FINAL</x:v>
      </x:c>
    </x:row>
    <x:row r="268" ht="64" customHeight="1">
      <x:c r="A268" s="18" t="str">
        <x:v>D09</x:v>
      </x:c>
      <x:c r="B268" s="18" t="str">
        <x:v>草莓奶昔</x:v>
      </x:c>
      <x:c r="C268" s="18" t="str">
        <x:v>P13</x:v>
      </x:c>
      <x:c r="D268" s="18" t="str">
        <x:v>准备</x:v>
      </x:c>
      <x:c r="E268" s="18" t="str">
        <x:v>草莓块</x:v>
      </x:c>
      <x:c r="F268" s="18" t="str">
        <x:v>草莓×1</x:v>
      </x:c>
      <x:c r="G268" s="18" t="str">
        <x:v>草莓→切配→草莓块</x:v>
      </x:c>
      <x:c r="H268" s="18" t="str">
        <x:v>切配台</x:v>
      </x:c>
      <x:c r="I268" s="18" t="str">
        <x:v>备料盒</x:v>
      </x:c>
      <x:c r="J268" s="18" t="str">
        <x:v>供货：草莓</x:v>
      </x:c>
    </x:row>
    <x:row r="269" ht="64" customHeight="1">
      <x:c r="A269" s="18" t="str">
        <x:v>D09</x:v>
      </x:c>
      <x:c r="B269" s="18" t="str">
        <x:v>草莓奶昔</x:v>
      </x:c>
      <x:c r="C269" s="18" t="str">
        <x:v>FINAL</x:v>
      </x:c>
      <x:c r="D269" s="18" t="str">
        <x:v>成品</x:v>
      </x:c>
      <x:c r="E269" s="18" t="str">
        <x:v>粉红奶昔</x:v>
      </x:c>
      <x:c r="F269" s="18" t="str">
        <x:v>草莓块×1 + 牛奶×1 + 香草冰淇淋×1</x:v>
      </x:c>
      <x:c r="G269" s="18" t="str">
        <x:v>草莓+牛奶+冰淇淋→搅打→倒杯</x:v>
      </x:c>
      <x:c r="H269" s="18" t="str">
        <x:v>搅打机</x:v>
      </x:c>
      <x:c r="I269" s="18" t="str">
        <x:v>透明冷饮杯</x:v>
      </x:c>
      <x:c r="J269" s="18" t="str">
        <x:v>P13 草莓块；供货：牛奶；供货：香草冰淇淋</x:v>
      </x:c>
    </x:row>
    <x:row r="270" ht="64" customHeight="1">
      <x:c r="A270" s="18" t="str">
        <x:v>D09</x:v>
      </x:c>
      <x:c r="B270" s="18" t="str">
        <x:v>草莓奶昔</x:v>
      </x:c>
      <x:c r="C270" s="18" t="str">
        <x:v>SERVE</x:v>
      </x:c>
      <x:c r="D270" s="18" t="str">
        <x:v>交付</x:v>
      </x:c>
      <x:c r="E270" s="18" t="str">
        <x:v>可交付订单</x:v>
      </x:c>
      <x:c r="F270" s="18" t="str">
        <x:v>已完成菜品</x:v>
      </x:c>
      <x:c r="G270" s="18" t="str">
        <x:v>完成饮品→交给另一位玩家核对并贴单→交付</x:v>
      </x:c>
      <x:c r="H270" s="18" t="str">
        <x:v>贴单台</x:v>
      </x:c>
      <x:c r="I270" s="18" t="str">
        <x:v>透明冷饮杯</x:v>
      </x:c>
      <x:c r="J270" s="18" t="str">
        <x:v>FINAL</x:v>
      </x:c>
    </x:row>
    <x:row r="271" ht="64" customHeight="1">
      <x:c r="A271" s="18" t="str">
        <x:v>D10</x:v>
      </x:c>
      <x:c r="B271" s="18" t="str">
        <x:v>芒果冰沙</x:v>
      </x:c>
      <x:c r="C271" s="18" t="str">
        <x:v>P14</x:v>
      </x:c>
      <x:c r="D271" s="18" t="str">
        <x:v>准备</x:v>
      </x:c>
      <x:c r="E271" s="18" t="str">
        <x:v>芒果块</x:v>
      </x:c>
      <x:c r="F271" s="18" t="str">
        <x:v>芒果×1</x:v>
      </x:c>
      <x:c r="G271" s="18" t="str">
        <x:v>芒果→切配→芒果块</x:v>
      </x:c>
      <x:c r="H271" s="18" t="str">
        <x:v>切配台</x:v>
      </x:c>
      <x:c r="I271" s="18" t="str">
        <x:v>备料盒</x:v>
      </x:c>
      <x:c r="J271" s="18" t="str">
        <x:v>供货：芒果</x:v>
      </x:c>
    </x:row>
    <x:row r="272" ht="64" customHeight="1">
      <x:c r="A272" s="18" t="str">
        <x:v>D10</x:v>
      </x:c>
      <x:c r="B272" s="18" t="str">
        <x:v>芒果冰沙</x:v>
      </x:c>
      <x:c r="C272" s="18" t="str">
        <x:v>FINAL</x:v>
      </x:c>
      <x:c r="D272" s="18" t="str">
        <x:v>成品</x:v>
      </x:c>
      <x:c r="E272" s="18" t="str">
        <x:v>黄色冰沙</x:v>
      </x:c>
      <x:c r="F272" s="18" t="str">
        <x:v>芒果块×1 + 冰块×1 + 糖浆×1</x:v>
      </x:c>
      <x:c r="G272" s="18" t="str">
        <x:v>芒果+冰+糖浆→搅打→倒杯</x:v>
      </x:c>
      <x:c r="H272" s="18" t="str">
        <x:v>搅打机</x:v>
      </x:c>
      <x:c r="I272" s="18" t="str">
        <x:v>透明冷饮杯</x:v>
      </x:c>
      <x:c r="J272" s="18" t="str">
        <x:v>P14 芒果块；供货：冰块；供货：糖浆</x:v>
      </x:c>
    </x:row>
    <x:row r="273" ht="64" customHeight="1">
      <x:c r="A273" s="18" t="str">
        <x:v>D10</x:v>
      </x:c>
      <x:c r="B273" s="18" t="str">
        <x:v>芒果冰沙</x:v>
      </x:c>
      <x:c r="C273" s="18" t="str">
        <x:v>SERVE</x:v>
      </x:c>
      <x:c r="D273" s="18" t="str">
        <x:v>交付</x:v>
      </x:c>
      <x:c r="E273" s="18" t="str">
        <x:v>可交付订单</x:v>
      </x:c>
      <x:c r="F273" s="18" t="str">
        <x:v>已完成菜品</x:v>
      </x:c>
      <x:c r="G273" s="18" t="str">
        <x:v>完成饮品→交给另一位玩家核对并贴单→交付</x:v>
      </x:c>
      <x:c r="H273" s="18" t="str">
        <x:v>贴单台</x:v>
      </x:c>
      <x:c r="I273" s="18" t="str">
        <x:v>透明冷饮杯</x:v>
      </x:c>
      <x:c r="J273" s="18" t="str">
        <x:v>FINAL</x:v>
      </x:c>
    </x:row>
    <x:row r="274" ht="64" customHeight="1">
      <x:c r="A274" s="18" t="str">
        <x:v>D11</x:v>
      </x:c>
      <x:c r="B274" s="18" t="str">
        <x:v>草莓酸奶冰沙</x:v>
      </x:c>
      <x:c r="C274" s="18" t="str">
        <x:v>P13</x:v>
      </x:c>
      <x:c r="D274" s="18" t="str">
        <x:v>准备</x:v>
      </x:c>
      <x:c r="E274" s="18" t="str">
        <x:v>草莓块</x:v>
      </x:c>
      <x:c r="F274" s="18" t="str">
        <x:v>草莓×1</x:v>
      </x:c>
      <x:c r="G274" s="18" t="str">
        <x:v>草莓→切配→草莓块</x:v>
      </x:c>
      <x:c r="H274" s="18" t="str">
        <x:v>切配台</x:v>
      </x:c>
      <x:c r="I274" s="18" t="str">
        <x:v>备料盒</x:v>
      </x:c>
      <x:c r="J274" s="18" t="str">
        <x:v>供货：草莓</x:v>
      </x:c>
    </x:row>
    <x:row r="275" ht="64" customHeight="1">
      <x:c r="A275" s="18" t="str">
        <x:v>D11</x:v>
      </x:c>
      <x:c r="B275" s="18" t="str">
        <x:v>草莓酸奶冰沙</x:v>
      </x:c>
      <x:c r="C275" s="18" t="str">
        <x:v>FINAL</x:v>
      </x:c>
      <x:c r="D275" s="18" t="str">
        <x:v>成品</x:v>
      </x:c>
      <x:c r="E275" s="18" t="str">
        <x:v>粉白酸奶冰沙</x:v>
      </x:c>
      <x:c r="F275" s="18" t="str">
        <x:v>草莓块×1 + 酸奶×1 + 冰块×1</x:v>
      </x:c>
      <x:c r="G275" s="18" t="str">
        <x:v>草莓+酸奶+冰→搅打→倒杯</x:v>
      </x:c>
      <x:c r="H275" s="18" t="str">
        <x:v>搅打机</x:v>
      </x:c>
      <x:c r="I275" s="18" t="str">
        <x:v>透明冷饮杯</x:v>
      </x:c>
      <x:c r="J275" s="18" t="str">
        <x:v>P13 草莓块；供货：酸奶；供货：冰块</x:v>
      </x:c>
    </x:row>
    <x:row r="276" ht="64" customHeight="1">
      <x:c r="A276" s="18" t="str">
        <x:v>D11</x:v>
      </x:c>
      <x:c r="B276" s="18" t="str">
        <x:v>草莓酸奶冰沙</x:v>
      </x:c>
      <x:c r="C276" s="18" t="str">
        <x:v>SERVE</x:v>
      </x:c>
      <x:c r="D276" s="18" t="str">
        <x:v>交付</x:v>
      </x:c>
      <x:c r="E276" s="18" t="str">
        <x:v>可交付订单</x:v>
      </x:c>
      <x:c r="F276" s="18" t="str">
        <x:v>已完成菜品</x:v>
      </x:c>
      <x:c r="G276" s="18" t="str">
        <x:v>完成饮品→交给另一位玩家核对并贴单→交付</x:v>
      </x:c>
      <x:c r="H276" s="18" t="str">
        <x:v>贴单台</x:v>
      </x:c>
      <x:c r="I276" s="18" t="str">
        <x:v>透明冷饮杯</x:v>
      </x:c>
      <x:c r="J276" s="18" t="str">
        <x:v>FINAL</x:v>
      </x:c>
    </x:row>
    <x:row r="277" ht="64" customHeight="1">
      <x:c r="A277" s="18" t="str">
        <x:v>D12</x:v>
      </x:c>
      <x:c r="B277" s="18" t="str">
        <x:v>热冲调奶茶</x:v>
      </x:c>
      <x:c r="C277" s="18" t="str">
        <x:v>P41</x:v>
      </x:c>
      <x:c r="D277" s="18" t="str">
        <x:v>准备</x:v>
      </x:c>
      <x:c r="E277" s="18" t="str">
        <x:v>热水</x:v>
      </x:c>
      <x:c r="F277" s="18" t="str">
        <x:v>饮用水×1</x:v>
      </x:c>
      <x:c r="G277" s="18" t="str">
        <x:v>取水台热水档→取得热水</x:v>
      </x:c>
      <x:c r="H277" s="18" t="str">
        <x:v>取水台</x:v>
      </x:c>
      <x:c r="I277" s="18" t="str">
        <x:v>热水杯/壶</x:v>
      </x:c>
      <x:c r="J277" s="18" t="str">
        <x:v>供货：饮用水</x:v>
      </x:c>
    </x:row>
    <x:row r="278" ht="64" customHeight="1">
      <x:c r="A278" s="18" t="str">
        <x:v>D12</x:v>
      </x:c>
      <x:c r="B278" s="18" t="str">
        <x:v>热冲调奶茶</x:v>
      </x:c>
      <x:c r="C278" s="18" t="str">
        <x:v>FINAL</x:v>
      </x:c>
      <x:c r="D278" s="18" t="str">
        <x:v>成品</x:v>
      </x:c>
      <x:c r="E278" s="18" t="str">
        <x:v>热奶茶</x:v>
      </x:c>
      <x:c r="F278" s="18" t="str">
        <x:v>速溶奶茶粉×1 + 热水×2</x:v>
      </x:c>
      <x:c r="G278" s="18" t="str">
        <x:v>奶茶粉+热水→混合→装杯</x:v>
      </x:c>
      <x:c r="H278" s="18" t="str">
        <x:v>调饮台</x:v>
      </x:c>
      <x:c r="I278" s="18" t="str">
        <x:v>热饮杯</x:v>
      </x:c>
      <x:c r="J278" s="18" t="str">
        <x:v>供货：速溶奶茶粉；P41 热水</x:v>
      </x:c>
    </x:row>
    <x:row r="279" ht="64" customHeight="1">
      <x:c r="A279" s="18" t="str">
        <x:v>D12</x:v>
      </x:c>
      <x:c r="B279" s="18" t="str">
        <x:v>热冲调奶茶</x:v>
      </x:c>
      <x:c r="C279" s="18" t="str">
        <x:v>SERVE</x:v>
      </x:c>
      <x:c r="D279" s="18" t="str">
        <x:v>交付</x:v>
      </x:c>
      <x:c r="E279" s="18" t="str">
        <x:v>可交付订单</x:v>
      </x:c>
      <x:c r="F279" s="18" t="str">
        <x:v>已完成菜品</x:v>
      </x:c>
      <x:c r="G279" s="18" t="str">
        <x:v>完成饮品→交给另一位玩家核对并贴单→交付</x:v>
      </x:c>
      <x:c r="H279" s="18" t="str">
        <x:v>贴单台</x:v>
      </x:c>
      <x:c r="I279" s="18" t="str">
        <x:v>热饮杯</x:v>
      </x:c>
      <x:c r="J279" s="18" t="str">
        <x:v>FINAL</x:v>
      </x:c>
    </x:row>
    <x:row r="280" ht="64" customHeight="1">
      <x:c r="A280" s="18" t="str">
        <x:v>D13</x:v>
      </x:c>
      <x:c r="B280" s="18" t="str">
        <x:v>热可可牛奶</x:v>
      </x:c>
      <x:c r="C280" s="18" t="str">
        <x:v>P51</x:v>
      </x:c>
      <x:c r="D280" s="18" t="str">
        <x:v>准备</x:v>
      </x:c>
      <x:c r="E280" s="18" t="str">
        <x:v>热牛奶</x:v>
      </x:c>
      <x:c r="F280" s="18" t="str">
        <x:v>牛奶×1</x:v>
      </x:c>
      <x:c r="G280" s="18" t="str">
        <x:v>牛奶入奶缸→加热模式</x:v>
      </x:c>
      <x:c r="H280" s="18" t="str">
        <x:v>蒸汽机</x:v>
      </x:c>
      <x:c r="I280" s="18" t="str">
        <x:v>奶缸</x:v>
      </x:c>
      <x:c r="J280" s="18" t="str">
        <x:v>供货：牛奶</x:v>
      </x:c>
    </x:row>
    <x:row r="281" ht="64" customHeight="1">
      <x:c r="A281" s="18" t="str">
        <x:v>D13</x:v>
      </x:c>
      <x:c r="B281" s="18" t="str">
        <x:v>热可可牛奶</x:v>
      </x:c>
      <x:c r="C281" s="18" t="str">
        <x:v>FINAL</x:v>
      </x:c>
      <x:c r="D281" s="18" t="str">
        <x:v>成品</x:v>
      </x:c>
      <x:c r="E281" s="18" t="str">
        <x:v>热可可</x:v>
      </x:c>
      <x:c r="F281" s="18" t="str">
        <x:v>可可粉×1 + 热牛奶×2 + 糖浆×1</x:v>
      </x:c>
      <x:c r="G281" s="18" t="str">
        <x:v>可可粉+热牛奶+糖浆→混合→装杯</x:v>
      </x:c>
      <x:c r="H281" s="18" t="str">
        <x:v>调饮台</x:v>
      </x:c>
      <x:c r="I281" s="18" t="str">
        <x:v>热饮杯</x:v>
      </x:c>
      <x:c r="J281" s="18" t="str">
        <x:v>供货：可可粉；P51 热牛奶；供货：糖浆</x:v>
      </x:c>
    </x:row>
    <x:row r="282" ht="64" customHeight="1">
      <x:c r="A282" s="18" t="str">
        <x:v>D13</x:v>
      </x:c>
      <x:c r="B282" s="18" t="str">
        <x:v>热可可牛奶</x:v>
      </x:c>
      <x:c r="C282" s="18" t="str">
        <x:v>SERVE</x:v>
      </x:c>
      <x:c r="D282" s="18" t="str">
        <x:v>交付</x:v>
      </x:c>
      <x:c r="E282" s="18" t="str">
        <x:v>可交付订单</x:v>
      </x:c>
      <x:c r="F282" s="18" t="str">
        <x:v>已完成菜品</x:v>
      </x:c>
      <x:c r="G282" s="18" t="str">
        <x:v>完成饮品→交给另一位玩家核对并贴单→交付</x:v>
      </x:c>
      <x:c r="H282" s="18" t="str">
        <x:v>贴单台</x:v>
      </x:c>
      <x:c r="I282" s="18" t="str">
        <x:v>热饮杯</x:v>
      </x:c>
      <x:c r="J282" s="18" t="str">
        <x:v>FINAL</x:v>
      </x:c>
    </x:row>
    <x:row r="283" ht="64" customHeight="1">
      <x:c r="A283" s="18" t="str">
        <x:v>D14</x:v>
      </x:c>
      <x:c r="B283" s="18" t="str">
        <x:v>热抹茶拿铁</x:v>
      </x:c>
      <x:c r="C283" s="18" t="str">
        <x:v>P41</x:v>
      </x:c>
      <x:c r="D283" s="18" t="str">
        <x:v>准备</x:v>
      </x:c>
      <x:c r="E283" s="18" t="str">
        <x:v>热水</x:v>
      </x:c>
      <x:c r="F283" s="18" t="str">
        <x:v>饮用水×1</x:v>
      </x:c>
      <x:c r="G283" s="18" t="str">
        <x:v>取水台热水档→取得热水</x:v>
      </x:c>
      <x:c r="H283" s="18" t="str">
        <x:v>取水台</x:v>
      </x:c>
      <x:c r="I283" s="18" t="str">
        <x:v>热水杯/壶</x:v>
      </x:c>
      <x:c r="J283" s="18" t="str">
        <x:v>供货：饮用水</x:v>
      </x:c>
    </x:row>
    <x:row r="284" ht="64" customHeight="1">
      <x:c r="A284" s="18" t="str">
        <x:v>D14</x:v>
      </x:c>
      <x:c r="B284" s="18" t="str">
        <x:v>热抹茶拿铁</x:v>
      </x:c>
      <x:c r="C284" s="18" t="str">
        <x:v>P51</x:v>
      </x:c>
      <x:c r="D284" s="18" t="str">
        <x:v>准备</x:v>
      </x:c>
      <x:c r="E284" s="18" t="str">
        <x:v>热牛奶</x:v>
      </x:c>
      <x:c r="F284" s="18" t="str">
        <x:v>牛奶×1</x:v>
      </x:c>
      <x:c r="G284" s="18" t="str">
        <x:v>牛奶入奶缸→加热模式</x:v>
      </x:c>
      <x:c r="H284" s="18" t="str">
        <x:v>蒸汽机</x:v>
      </x:c>
      <x:c r="I284" s="18" t="str">
        <x:v>奶缸</x:v>
      </x:c>
      <x:c r="J284" s="18" t="str">
        <x:v>供货：牛奶</x:v>
      </x:c>
    </x:row>
    <x:row r="285" ht="64" customHeight="1">
      <x:c r="A285" s="18" t="str">
        <x:v>D14</x:v>
      </x:c>
      <x:c r="B285" s="18" t="str">
        <x:v>热抹茶拿铁</x:v>
      </x:c>
      <x:c r="C285" s="18" t="str">
        <x:v>FINAL</x:v>
      </x:c>
      <x:c r="D285" s="18" t="str">
        <x:v>成品</x:v>
      </x:c>
      <x:c r="E285" s="18" t="str">
        <x:v>绿色热乳饮</x:v>
      </x:c>
      <x:c r="F285" s="18" t="str">
        <x:v>抹茶粉×1 + 热水×1 + 热牛奶×2 + 糖浆×1</x:v>
      </x:c>
      <x:c r="G285" s="18" t="str">
        <x:v>抹茶粉+热水→混合→加入热奶和糖浆</x:v>
      </x:c>
      <x:c r="H285" s="18" t="str">
        <x:v>调饮台</x:v>
      </x:c>
      <x:c r="I285" s="18" t="str">
        <x:v>热饮杯</x:v>
      </x:c>
      <x:c r="J285" s="18" t="str">
        <x:v>供货：抹茶粉；P41 热水；P51 热牛奶；供货：糖浆</x:v>
      </x:c>
    </x:row>
    <x:row r="286" ht="64" customHeight="1">
      <x:c r="A286" s="18" t="str">
        <x:v>D14</x:v>
      </x:c>
      <x:c r="B286" s="18" t="str">
        <x:v>热抹茶拿铁</x:v>
      </x:c>
      <x:c r="C286" s="18" t="str">
        <x:v>SERVE</x:v>
      </x:c>
      <x:c r="D286" s="18" t="str">
        <x:v>交付</x:v>
      </x:c>
      <x:c r="E286" s="18" t="str">
        <x:v>可交付订单</x:v>
      </x:c>
      <x:c r="F286" s="18" t="str">
        <x:v>已完成菜品</x:v>
      </x:c>
      <x:c r="G286" s="18" t="str">
        <x:v>完成饮品→交给另一位玩家核对并贴单→交付</x:v>
      </x:c>
      <x:c r="H286" s="18" t="str">
        <x:v>贴单台</x:v>
      </x:c>
      <x:c r="I286" s="18" t="str">
        <x:v>热饮杯</x:v>
      </x:c>
      <x:c r="J286" s="18" t="str">
        <x:v>FINAL</x:v>
      </x:c>
    </x:row>
    <x:row r="287" ht="64" customHeight="1">
      <x:c r="A287" s="18" t="str">
        <x:v>D15</x:v>
      </x:c>
      <x:c r="B287" s="18" t="str">
        <x:v>浓缩咖啡</x:v>
      </x:c>
      <x:c r="C287" s="18" t="str">
        <x:v>P49</x:v>
      </x:c>
      <x:c r="D287" s="18" t="str">
        <x:v>准备</x:v>
      </x:c>
      <x:c r="E287" s="18" t="str">
        <x:v>咖啡粉</x:v>
      </x:c>
      <x:c r="F287" s="18" t="str">
        <x:v>咖啡豆×1</x:v>
      </x:c>
      <x:c r="G287" s="18" t="str">
        <x:v>咖啡豆→研磨</x:v>
      </x:c>
      <x:c r="H287" s="18" t="str">
        <x:v>磨豆机</x:v>
      </x:c>
      <x:c r="I287" s="18" t="str">
        <x:v>粉盒</x:v>
      </x:c>
      <x:c r="J287" s="18" t="str">
        <x:v>供货：咖啡豆</x:v>
      </x:c>
    </x:row>
    <x:row r="288" ht="64" customHeight="1">
      <x:c r="A288" s="18" t="str">
        <x:v>D15</x:v>
      </x:c>
      <x:c r="B288" s="18" t="str">
        <x:v>浓缩咖啡</x:v>
      </x:c>
      <x:c r="C288" s="18" t="str">
        <x:v>P50</x:v>
      </x:c>
      <x:c r="D288" s="18" t="str">
        <x:v>准备</x:v>
      </x:c>
      <x:c r="E288" s="18" t="str">
        <x:v>浓缩咖啡液</x:v>
      </x:c>
      <x:c r="F288" s="18" t="str">
        <x:v>咖啡粉×1</x:v>
      </x:c>
      <x:c r="G288" s="18" t="str">
        <x:v>咖啡粉→萃取；用水计入设备背景</x:v>
      </x:c>
      <x:c r="H288" s="18" t="str">
        <x:v>咖啡机</x:v>
      </x:c>
      <x:c r="I288" s="18" t="str">
        <x:v>接液杯</x:v>
      </x:c>
      <x:c r="J288" s="18" t="str">
        <x:v>P49 咖啡粉</x:v>
      </x:c>
    </x:row>
    <x:row r="289" ht="64" customHeight="1">
      <x:c r="A289" s="18" t="str">
        <x:v>D15</x:v>
      </x:c>
      <x:c r="B289" s="18" t="str">
        <x:v>浓缩咖啡</x:v>
      </x:c>
      <x:c r="C289" s="18" t="str">
        <x:v>FINAL</x:v>
      </x:c>
      <x:c r="D289" s="18" t="str">
        <x:v>成品</x:v>
      </x:c>
      <x:c r="E289" s="18" t="str">
        <x:v>一份浓缩</x:v>
      </x:c>
      <x:c r="F289" s="18" t="str">
        <x:v>浓缩咖啡液×1</x:v>
      </x:c>
      <x:c r="G289" s="18" t="str">
        <x:v>萃取液接入热饮杯</x:v>
      </x:c>
      <x:c r="H289" s="18" t="str">
        <x:v>调饮台</x:v>
      </x:c>
      <x:c r="I289" s="18" t="str">
        <x:v>热饮杯</x:v>
      </x:c>
      <x:c r="J289" s="18" t="str">
        <x:v>P50 浓缩咖啡液</x:v>
      </x:c>
    </x:row>
    <x:row r="290" ht="64" customHeight="1">
      <x:c r="A290" s="18" t="str">
        <x:v>D15</x:v>
      </x:c>
      <x:c r="B290" s="18" t="str">
        <x:v>浓缩咖啡</x:v>
      </x:c>
      <x:c r="C290" s="18" t="str">
        <x:v>SERVE</x:v>
      </x:c>
      <x:c r="D290" s="18" t="str">
        <x:v>交付</x:v>
      </x:c>
      <x:c r="E290" s="18" t="str">
        <x:v>可交付订单</x:v>
      </x:c>
      <x:c r="F290" s="18" t="str">
        <x:v>已完成菜品</x:v>
      </x:c>
      <x:c r="G290" s="18" t="str">
        <x:v>完成饮品→交给另一位玩家核对并贴单→交付</x:v>
      </x:c>
      <x:c r="H290" s="18" t="str">
        <x:v>贴单台</x:v>
      </x:c>
      <x:c r="I290" s="18" t="str">
        <x:v>热饮杯</x:v>
      </x:c>
      <x:c r="J290" s="18" t="str">
        <x:v>FINAL</x:v>
      </x:c>
    </x:row>
    <x:row r="291" ht="64" customHeight="1">
      <x:c r="A291" s="18" t="str">
        <x:v>D16</x:v>
      </x:c>
      <x:c r="B291" s="18" t="str">
        <x:v>热美式</x:v>
      </x:c>
      <x:c r="C291" s="18" t="str">
        <x:v>P49</x:v>
      </x:c>
      <x:c r="D291" s="18" t="str">
        <x:v>准备</x:v>
      </x:c>
      <x:c r="E291" s="18" t="str">
        <x:v>咖啡粉</x:v>
      </x:c>
      <x:c r="F291" s="18" t="str">
        <x:v>咖啡豆×1</x:v>
      </x:c>
      <x:c r="G291" s="18" t="str">
        <x:v>咖啡豆→研磨</x:v>
      </x:c>
      <x:c r="H291" s="18" t="str">
        <x:v>磨豆机</x:v>
      </x:c>
      <x:c r="I291" s="18" t="str">
        <x:v>粉盒</x:v>
      </x:c>
      <x:c r="J291" s="18" t="str">
        <x:v>供货：咖啡豆</x:v>
      </x:c>
    </x:row>
    <x:row r="292" ht="64" customHeight="1">
      <x:c r="A292" s="18" t="str">
        <x:v>D16</x:v>
      </x:c>
      <x:c r="B292" s="18" t="str">
        <x:v>热美式</x:v>
      </x:c>
      <x:c r="C292" s="18" t="str">
        <x:v>P50</x:v>
      </x:c>
      <x:c r="D292" s="18" t="str">
        <x:v>准备</x:v>
      </x:c>
      <x:c r="E292" s="18" t="str">
        <x:v>浓缩咖啡液</x:v>
      </x:c>
      <x:c r="F292" s="18" t="str">
        <x:v>咖啡粉×1</x:v>
      </x:c>
      <x:c r="G292" s="18" t="str">
        <x:v>咖啡粉→萃取；用水计入设备背景</x:v>
      </x:c>
      <x:c r="H292" s="18" t="str">
        <x:v>咖啡机</x:v>
      </x:c>
      <x:c r="I292" s="18" t="str">
        <x:v>接液杯</x:v>
      </x:c>
      <x:c r="J292" s="18" t="str">
        <x:v>P49 咖啡粉</x:v>
      </x:c>
    </x:row>
    <x:row r="293" ht="64" customHeight="1">
      <x:c r="A293" s="18" t="str">
        <x:v>D16</x:v>
      </x:c>
      <x:c r="B293" s="18" t="str">
        <x:v>热美式</x:v>
      </x:c>
      <x:c r="C293" s="18" t="str">
        <x:v>P41</x:v>
      </x:c>
      <x:c r="D293" s="18" t="str">
        <x:v>准备</x:v>
      </x:c>
      <x:c r="E293" s="18" t="str">
        <x:v>热水</x:v>
      </x:c>
      <x:c r="F293" s="18" t="str">
        <x:v>饮用水×1</x:v>
      </x:c>
      <x:c r="G293" s="18" t="str">
        <x:v>取水台热水档→取得热水</x:v>
      </x:c>
      <x:c r="H293" s="18" t="str">
        <x:v>取水台</x:v>
      </x:c>
      <x:c r="I293" s="18" t="str">
        <x:v>热水杯/壶</x:v>
      </x:c>
      <x:c r="J293" s="18" t="str">
        <x:v>供货：饮用水</x:v>
      </x:c>
    </x:row>
    <x:row r="294" ht="64" customHeight="1">
      <x:c r="A294" s="18" t="str">
        <x:v>D16</x:v>
      </x:c>
      <x:c r="B294" s="18" t="str">
        <x:v>热美式</x:v>
      </x:c>
      <x:c r="C294" s="18" t="str">
        <x:v>FINAL</x:v>
      </x:c>
      <x:c r="D294" s="18" t="str">
        <x:v>成品</x:v>
      </x:c>
      <x:c r="E294" s="18" t="str">
        <x:v>深色美式</x:v>
      </x:c>
      <x:c r="F294" s="18" t="str">
        <x:v>浓缩咖啡液×1 + 热水×2</x:v>
      </x:c>
      <x:c r="G294" s="18" t="str">
        <x:v>浓缩+热水→混合</x:v>
      </x:c>
      <x:c r="H294" s="18" t="str">
        <x:v>调饮台</x:v>
      </x:c>
      <x:c r="I294" s="18" t="str">
        <x:v>热饮杯</x:v>
      </x:c>
      <x:c r="J294" s="18" t="str">
        <x:v>P50 浓缩咖啡液；P41 热水</x:v>
      </x:c>
    </x:row>
    <x:row r="295" ht="64" customHeight="1">
      <x:c r="A295" s="18" t="str">
        <x:v>D16</x:v>
      </x:c>
      <x:c r="B295" s="18" t="str">
        <x:v>热美式</x:v>
      </x:c>
      <x:c r="C295" s="18" t="str">
        <x:v>SERVE</x:v>
      </x:c>
      <x:c r="D295" s="18" t="str">
        <x:v>交付</x:v>
      </x:c>
      <x:c r="E295" s="18" t="str">
        <x:v>可交付订单</x:v>
      </x:c>
      <x:c r="F295" s="18" t="str">
        <x:v>已完成菜品</x:v>
      </x:c>
      <x:c r="G295" s="18" t="str">
        <x:v>完成饮品→交给另一位玩家核对并贴单→交付</x:v>
      </x:c>
      <x:c r="H295" s="18" t="str">
        <x:v>贴单台</x:v>
      </x:c>
      <x:c r="I295" s="18" t="str">
        <x:v>热饮杯</x:v>
      </x:c>
      <x:c r="J295" s="18" t="str">
        <x:v>FINAL</x:v>
      </x:c>
    </x:row>
    <x:row r="296" ht="64" customHeight="1">
      <x:c r="A296" s="18" t="str">
        <x:v>D17</x:v>
      </x:c>
      <x:c r="B296" s="18" t="str">
        <x:v>热拿铁</x:v>
      </x:c>
      <x:c r="C296" s="18" t="str">
        <x:v>P49</x:v>
      </x:c>
      <x:c r="D296" s="18" t="str">
        <x:v>准备</x:v>
      </x:c>
      <x:c r="E296" s="18" t="str">
        <x:v>咖啡粉</x:v>
      </x:c>
      <x:c r="F296" s="18" t="str">
        <x:v>咖啡豆×1</x:v>
      </x:c>
      <x:c r="G296" s="18" t="str">
        <x:v>咖啡豆→研磨</x:v>
      </x:c>
      <x:c r="H296" s="18" t="str">
        <x:v>磨豆机</x:v>
      </x:c>
      <x:c r="I296" s="18" t="str">
        <x:v>粉盒</x:v>
      </x:c>
      <x:c r="J296" s="18" t="str">
        <x:v>供货：咖啡豆</x:v>
      </x:c>
    </x:row>
    <x:row r="297" ht="64" customHeight="1">
      <x:c r="A297" s="18" t="str">
        <x:v>D17</x:v>
      </x:c>
      <x:c r="B297" s="18" t="str">
        <x:v>热拿铁</x:v>
      </x:c>
      <x:c r="C297" s="18" t="str">
        <x:v>P50</x:v>
      </x:c>
      <x:c r="D297" s="18" t="str">
        <x:v>准备</x:v>
      </x:c>
      <x:c r="E297" s="18" t="str">
        <x:v>浓缩咖啡液</x:v>
      </x:c>
      <x:c r="F297" s="18" t="str">
        <x:v>咖啡粉×1</x:v>
      </x:c>
      <x:c r="G297" s="18" t="str">
        <x:v>咖啡粉→萃取；用水计入设备背景</x:v>
      </x:c>
      <x:c r="H297" s="18" t="str">
        <x:v>咖啡机</x:v>
      </x:c>
      <x:c r="I297" s="18" t="str">
        <x:v>接液杯</x:v>
      </x:c>
      <x:c r="J297" s="18" t="str">
        <x:v>P49 咖啡粉</x:v>
      </x:c>
    </x:row>
    <x:row r="298" ht="64" customHeight="1">
      <x:c r="A298" s="18" t="str">
        <x:v>D17</x:v>
      </x:c>
      <x:c r="B298" s="18" t="str">
        <x:v>热拿铁</x:v>
      </x:c>
      <x:c r="C298" s="18" t="str">
        <x:v>P51</x:v>
      </x:c>
      <x:c r="D298" s="18" t="str">
        <x:v>准备</x:v>
      </x:c>
      <x:c r="E298" s="18" t="str">
        <x:v>热牛奶</x:v>
      </x:c>
      <x:c r="F298" s="18" t="str">
        <x:v>牛奶×1</x:v>
      </x:c>
      <x:c r="G298" s="18" t="str">
        <x:v>牛奶入奶缸→加热模式</x:v>
      </x:c>
      <x:c r="H298" s="18" t="str">
        <x:v>蒸汽机</x:v>
      </x:c>
      <x:c r="I298" s="18" t="str">
        <x:v>奶缸</x:v>
      </x:c>
      <x:c r="J298" s="18" t="str">
        <x:v>供货：牛奶</x:v>
      </x:c>
    </x:row>
    <x:row r="299" ht="64" customHeight="1">
      <x:c r="A299" s="18" t="str">
        <x:v>D17</x:v>
      </x:c>
      <x:c r="B299" s="18" t="str">
        <x:v>热拿铁</x:v>
      </x:c>
      <x:c r="C299" s="18" t="str">
        <x:v>FINAL</x:v>
      </x:c>
      <x:c r="D299" s="18" t="str">
        <x:v>成品</x:v>
      </x:c>
      <x:c r="E299" s="18" t="str">
        <x:v>浅棕色拿铁</x:v>
      </x:c>
      <x:c r="F299" s="18" t="str">
        <x:v>浓缩咖啡液×1 + 热牛奶×2</x:v>
      </x:c>
      <x:c r="G299" s="18" t="str">
        <x:v>浓缩+热牛奶→混合；不拉花</x:v>
      </x:c>
      <x:c r="H299" s="18" t="str">
        <x:v>调饮台</x:v>
      </x:c>
      <x:c r="I299" s="18" t="str">
        <x:v>热饮杯</x:v>
      </x:c>
      <x:c r="J299" s="18" t="str">
        <x:v>P50 浓缩咖啡液；P51 热牛奶</x:v>
      </x:c>
    </x:row>
    <x:row r="300" ht="64" customHeight="1">
      <x:c r="A300" s="18" t="str">
        <x:v>D17</x:v>
      </x:c>
      <x:c r="B300" s="18" t="str">
        <x:v>热拿铁</x:v>
      </x:c>
      <x:c r="C300" s="18" t="str">
        <x:v>SERVE</x:v>
      </x:c>
      <x:c r="D300" s="18" t="str">
        <x:v>交付</x:v>
      </x:c>
      <x:c r="E300" s="18" t="str">
        <x:v>可交付订单</x:v>
      </x:c>
      <x:c r="F300" s="18" t="str">
        <x:v>已完成菜品</x:v>
      </x:c>
      <x:c r="G300" s="18" t="str">
        <x:v>完成饮品→交给另一位玩家核对并贴单→交付</x:v>
      </x:c>
      <x:c r="H300" s="18" t="str">
        <x:v>贴单台</x:v>
      </x:c>
      <x:c r="I300" s="18" t="str">
        <x:v>热饮杯</x:v>
      </x:c>
      <x:c r="J300" s="18" t="str">
        <x:v>FINAL</x:v>
      </x:c>
    </x:row>
    <x:row r="301" ht="64" customHeight="1">
      <x:c r="A301" s="18" t="str">
        <x:v>D18</x:v>
      </x:c>
      <x:c r="B301" s="18" t="str">
        <x:v>卡布奇诺</x:v>
      </x:c>
      <x:c r="C301" s="18" t="str">
        <x:v>P49</x:v>
      </x:c>
      <x:c r="D301" s="18" t="str">
        <x:v>准备</x:v>
      </x:c>
      <x:c r="E301" s="18" t="str">
        <x:v>咖啡粉</x:v>
      </x:c>
      <x:c r="F301" s="18" t="str">
        <x:v>咖啡豆×1</x:v>
      </x:c>
      <x:c r="G301" s="18" t="str">
        <x:v>咖啡豆→研磨</x:v>
      </x:c>
      <x:c r="H301" s="18" t="str">
        <x:v>磨豆机</x:v>
      </x:c>
      <x:c r="I301" s="18" t="str">
        <x:v>粉盒</x:v>
      </x:c>
      <x:c r="J301" s="18" t="str">
        <x:v>供货：咖啡豆</x:v>
      </x:c>
    </x:row>
    <x:row r="302" ht="64" customHeight="1">
      <x:c r="A302" s="18" t="str">
        <x:v>D18</x:v>
      </x:c>
      <x:c r="B302" s="18" t="str">
        <x:v>卡布奇诺</x:v>
      </x:c>
      <x:c r="C302" s="18" t="str">
        <x:v>P50</x:v>
      </x:c>
      <x:c r="D302" s="18" t="str">
        <x:v>准备</x:v>
      </x:c>
      <x:c r="E302" s="18" t="str">
        <x:v>浓缩咖啡液</x:v>
      </x:c>
      <x:c r="F302" s="18" t="str">
        <x:v>咖啡粉×1</x:v>
      </x:c>
      <x:c r="G302" s="18" t="str">
        <x:v>咖啡粉→萃取；用水计入设备背景</x:v>
      </x:c>
      <x:c r="H302" s="18" t="str">
        <x:v>咖啡机</x:v>
      </x:c>
      <x:c r="I302" s="18" t="str">
        <x:v>接液杯</x:v>
      </x:c>
      <x:c r="J302" s="18" t="str">
        <x:v>P49 咖啡粉</x:v>
      </x:c>
    </x:row>
    <x:row r="303" ht="64" customHeight="1">
      <x:c r="A303" s="18" t="str">
        <x:v>D18</x:v>
      </x:c>
      <x:c r="B303" s="18" t="str">
        <x:v>卡布奇诺</x:v>
      </x:c>
      <x:c r="C303" s="18" t="str">
        <x:v>P51</x:v>
      </x:c>
      <x:c r="D303" s="18" t="str">
        <x:v>准备</x:v>
      </x:c>
      <x:c r="E303" s="18" t="str">
        <x:v>热牛奶</x:v>
      </x:c>
      <x:c r="F303" s="18" t="str">
        <x:v>牛奶×1</x:v>
      </x:c>
      <x:c r="G303" s="18" t="str">
        <x:v>牛奶入奶缸→加热模式</x:v>
      </x:c>
      <x:c r="H303" s="18" t="str">
        <x:v>蒸汽机</x:v>
      </x:c>
      <x:c r="I303" s="18" t="str">
        <x:v>奶缸</x:v>
      </x:c>
      <x:c r="J303" s="18" t="str">
        <x:v>供货：牛奶</x:v>
      </x:c>
    </x:row>
    <x:row r="304" ht="64" customHeight="1">
      <x:c r="A304" s="18" t="str">
        <x:v>D18</x:v>
      </x:c>
      <x:c r="B304" s="18" t="str">
        <x:v>卡布奇诺</x:v>
      </x:c>
      <x:c r="C304" s="18" t="str">
        <x:v>P52</x:v>
      </x:c>
      <x:c r="D304" s="18" t="str">
        <x:v>准备</x:v>
      </x:c>
      <x:c r="E304" s="18" t="str">
        <x:v>奶泡</x:v>
      </x:c>
      <x:c r="F304" s="18" t="str">
        <x:v>牛奶×1</x:v>
      </x:c>
      <x:c r="G304" s="18" t="str">
        <x:v>牛奶入奶缸→打泡模式</x:v>
      </x:c>
      <x:c r="H304" s="18" t="str">
        <x:v>蒸汽机</x:v>
      </x:c>
      <x:c r="I304" s="18" t="str">
        <x:v>奶缸</x:v>
      </x:c>
      <x:c r="J304" s="18" t="str">
        <x:v>供货：牛奶</x:v>
      </x:c>
    </x:row>
    <x:row r="305" ht="64" customHeight="1">
      <x:c r="A305" s="18" t="str">
        <x:v>D18</x:v>
      </x:c>
      <x:c r="B305" s="18" t="str">
        <x:v>卡布奇诺</x:v>
      </x:c>
      <x:c r="C305" s="18" t="str">
        <x:v>FINAL</x:v>
      </x:c>
      <x:c r="D305" s="18" t="str">
        <x:v>成品</x:v>
      </x:c>
      <x:c r="E305" s="18" t="str">
        <x:v>有明显奶泡层</x:v>
      </x:c>
      <x:c r="F305" s="18" t="str">
        <x:v>浓缩咖啡液×1 + 热牛奶×1 + 奶泡×1</x:v>
      </x:c>
      <x:c r="G305" s="18" t="str">
        <x:v>浓缩+热牛奶→最后加奶泡</x:v>
      </x:c>
      <x:c r="H305" s="18" t="str">
        <x:v>调饮台</x:v>
      </x:c>
      <x:c r="I305" s="18" t="str">
        <x:v>热饮杯</x:v>
      </x:c>
      <x:c r="J305" s="18" t="str">
        <x:v>P50 浓缩咖啡液；P51 热牛奶；P52 奶泡</x:v>
      </x:c>
    </x:row>
    <x:row r="306" ht="64" customHeight="1">
      <x:c r="A306" s="18" t="str">
        <x:v>D18</x:v>
      </x:c>
      <x:c r="B306" s="18" t="str">
        <x:v>卡布奇诺</x:v>
      </x:c>
      <x:c r="C306" s="18" t="str">
        <x:v>SERVE</x:v>
      </x:c>
      <x:c r="D306" s="18" t="str">
        <x:v>交付</x:v>
      </x:c>
      <x:c r="E306" s="18" t="str">
        <x:v>可交付订单</x:v>
      </x:c>
      <x:c r="F306" s="18" t="str">
        <x:v>已完成菜品</x:v>
      </x:c>
      <x:c r="G306" s="18" t="str">
        <x:v>完成饮品→交给另一位玩家核对并贴单→交付</x:v>
      </x:c>
      <x:c r="H306" s="18" t="str">
        <x:v>贴单台</x:v>
      </x:c>
      <x:c r="I306" s="18" t="str">
        <x:v>热饮杯</x:v>
      </x:c>
      <x:c r="J306" s="18" t="str">
        <x:v>FINAL</x:v>
      </x:c>
    </x:row>
    <x:row r="307" ht="64" customHeight="1">
      <x:c r="A307" s="18" t="str">
        <x:v>D19</x:v>
      </x:c>
      <x:c r="B307" s="18" t="str">
        <x:v>冰生椰拿铁</x:v>
      </x:c>
      <x:c r="C307" s="18" t="str">
        <x:v>P49</x:v>
      </x:c>
      <x:c r="D307" s="18" t="str">
        <x:v>准备</x:v>
      </x:c>
      <x:c r="E307" s="18" t="str">
        <x:v>咖啡粉</x:v>
      </x:c>
      <x:c r="F307" s="18" t="str">
        <x:v>咖啡豆×1</x:v>
      </x:c>
      <x:c r="G307" s="18" t="str">
        <x:v>咖啡豆→研磨</x:v>
      </x:c>
      <x:c r="H307" s="18" t="str">
        <x:v>磨豆机</x:v>
      </x:c>
      <x:c r="I307" s="18" t="str">
        <x:v>粉盒</x:v>
      </x:c>
      <x:c r="J307" s="18" t="str">
        <x:v>供货：咖啡豆</x:v>
      </x:c>
    </x:row>
    <x:row r="308" ht="64" customHeight="1">
      <x:c r="A308" s="18" t="str">
        <x:v>D19</x:v>
      </x:c>
      <x:c r="B308" s="18" t="str">
        <x:v>冰生椰拿铁</x:v>
      </x:c>
      <x:c r="C308" s="18" t="str">
        <x:v>P50</x:v>
      </x:c>
      <x:c r="D308" s="18" t="str">
        <x:v>准备</x:v>
      </x:c>
      <x:c r="E308" s="18" t="str">
        <x:v>浓缩咖啡液</x:v>
      </x:c>
      <x:c r="F308" s="18" t="str">
        <x:v>咖啡粉×1</x:v>
      </x:c>
      <x:c r="G308" s="18" t="str">
        <x:v>咖啡粉→萃取；用水计入设备背景</x:v>
      </x:c>
      <x:c r="H308" s="18" t="str">
        <x:v>咖啡机</x:v>
      </x:c>
      <x:c r="I308" s="18" t="str">
        <x:v>接液杯</x:v>
      </x:c>
      <x:c r="J308" s="18" t="str">
        <x:v>P49 咖啡粉</x:v>
      </x:c>
    </x:row>
    <x:row r="309" ht="64" customHeight="1">
      <x:c r="A309" s="18" t="str">
        <x:v>D19</x:v>
      </x:c>
      <x:c r="B309" s="18" t="str">
        <x:v>冰生椰拿铁</x:v>
      </x:c>
      <x:c r="C309" s="18" t="str">
        <x:v>FINAL</x:v>
      </x:c>
      <x:c r="D309" s="18" t="str">
        <x:v>成品</x:v>
      </x:c>
      <x:c r="E309" s="18" t="str">
        <x:v>分层椰奶咖啡</x:v>
      </x:c>
      <x:c r="F309" s="18" t="str">
        <x:v>浓缩咖啡液×1 + 椰奶×2 + 冰块×1</x:v>
      </x:c>
      <x:c r="G309" s="18" t="str">
        <x:v>杯中加冰和椰奶→最后倒入浓缩</x:v>
      </x:c>
      <x:c r="H309" s="18" t="str">
        <x:v>调饮台</x:v>
      </x:c>
      <x:c r="I309" s="18" t="str">
        <x:v>透明冷饮杯</x:v>
      </x:c>
      <x:c r="J309" s="18" t="str">
        <x:v>P50 浓缩咖啡液；供货：椰奶；供货：冰块</x:v>
      </x:c>
    </x:row>
    <x:row r="310" ht="64" customHeight="1">
      <x:c r="A310" s="18" t="str">
        <x:v>D19</x:v>
      </x:c>
      <x:c r="B310" s="18" t="str">
        <x:v>冰生椰拿铁</x:v>
      </x:c>
      <x:c r="C310" s="18" t="str">
        <x:v>SERVE</x:v>
      </x:c>
      <x:c r="D310" s="18" t="str">
        <x:v>交付</x:v>
      </x:c>
      <x:c r="E310" s="18" t="str">
        <x:v>可交付订单</x:v>
      </x:c>
      <x:c r="F310" s="18" t="str">
        <x:v>已完成菜品</x:v>
      </x:c>
      <x:c r="G310" s="18" t="str">
        <x:v>完成饮品→交给另一位玩家核对并贴单→交付</x:v>
      </x:c>
      <x:c r="H310" s="18" t="str">
        <x:v>贴单台</x:v>
      </x:c>
      <x:c r="I310" s="18" t="str">
        <x:v>透明冷饮杯</x:v>
      </x:c>
      <x:c r="J310" s="18" t="str">
        <x:v>FINAL</x:v>
      </x:c>
    </x:row>
    <x:row r="311" ht="64" customHeight="1">
      <x:c r="A311" s="18" t="str">
        <x:v>D20</x:v>
      </x:c>
      <x:c r="B311" s="18" t="str">
        <x:v>热摩卡</x:v>
      </x:c>
      <x:c r="C311" s="18" t="str">
        <x:v>P49</x:v>
      </x:c>
      <x:c r="D311" s="18" t="str">
        <x:v>准备</x:v>
      </x:c>
      <x:c r="E311" s="18" t="str">
        <x:v>咖啡粉</x:v>
      </x:c>
      <x:c r="F311" s="18" t="str">
        <x:v>咖啡豆×1</x:v>
      </x:c>
      <x:c r="G311" s="18" t="str">
        <x:v>咖啡豆→研磨</x:v>
      </x:c>
      <x:c r="H311" s="18" t="str">
        <x:v>磨豆机</x:v>
      </x:c>
      <x:c r="I311" s="18" t="str">
        <x:v>粉盒</x:v>
      </x:c>
      <x:c r="J311" s="18" t="str">
        <x:v>供货：咖啡豆</x:v>
      </x:c>
    </x:row>
    <x:row r="312" ht="64" customHeight="1">
      <x:c r="A312" s="18" t="str">
        <x:v>D20</x:v>
      </x:c>
      <x:c r="B312" s="18" t="str">
        <x:v>热摩卡</x:v>
      </x:c>
      <x:c r="C312" s="18" t="str">
        <x:v>P50</x:v>
      </x:c>
      <x:c r="D312" s="18" t="str">
        <x:v>准备</x:v>
      </x:c>
      <x:c r="E312" s="18" t="str">
        <x:v>浓缩咖啡液</x:v>
      </x:c>
      <x:c r="F312" s="18" t="str">
        <x:v>咖啡粉×1</x:v>
      </x:c>
      <x:c r="G312" s="18" t="str">
        <x:v>咖啡粉→萃取；用水计入设备背景</x:v>
      </x:c>
      <x:c r="H312" s="18" t="str">
        <x:v>咖啡机</x:v>
      </x:c>
      <x:c r="I312" s="18" t="str">
        <x:v>接液杯</x:v>
      </x:c>
      <x:c r="J312" s="18" t="str">
        <x:v>P49 咖啡粉</x:v>
      </x:c>
    </x:row>
    <x:row r="313" ht="64" customHeight="1">
      <x:c r="A313" s="18" t="str">
        <x:v>D20</x:v>
      </x:c>
      <x:c r="B313" s="18" t="str">
        <x:v>热摩卡</x:v>
      </x:c>
      <x:c r="C313" s="18" t="str">
        <x:v>P51</x:v>
      </x:c>
      <x:c r="D313" s="18" t="str">
        <x:v>准备</x:v>
      </x:c>
      <x:c r="E313" s="18" t="str">
        <x:v>热牛奶</x:v>
      </x:c>
      <x:c r="F313" s="18" t="str">
        <x:v>牛奶×1</x:v>
      </x:c>
      <x:c r="G313" s="18" t="str">
        <x:v>牛奶入奶缸→加热模式</x:v>
      </x:c>
      <x:c r="H313" s="18" t="str">
        <x:v>蒸汽机</x:v>
      </x:c>
      <x:c r="I313" s="18" t="str">
        <x:v>奶缸</x:v>
      </x:c>
      <x:c r="J313" s="18" t="str">
        <x:v>供货：牛奶</x:v>
      </x:c>
    </x:row>
    <x:row r="314" ht="64" customHeight="1">
      <x:c r="A314" s="18" t="str">
        <x:v>D20</x:v>
      </x:c>
      <x:c r="B314" s="18" t="str">
        <x:v>热摩卡</x:v>
      </x:c>
      <x:c r="C314" s="18" t="str">
        <x:v>P39</x:v>
      </x:c>
      <x:c r="D314" s="18" t="str">
        <x:v>准备</x:v>
      </x:c>
      <x:c r="E314" s="18" t="str">
        <x:v>打发奶油</x:v>
      </x:c>
      <x:c r="F314" s="18" t="str">
        <x:v>淡奶油×1</x:v>
      </x:c>
      <x:c r="G314" s="18" t="str">
        <x:v>淡奶油→打发</x:v>
      </x:c>
      <x:c r="H314" s="18" t="str">
        <x:v>搅拌机</x:v>
      </x:c>
      <x:c r="I314" s="18" t="str">
        <x:v>配料罐</x:v>
      </x:c>
      <x:c r="J314" s="18" t="str">
        <x:v>供货：淡奶油</x:v>
      </x:c>
    </x:row>
    <x:row r="315" ht="64" customHeight="1">
      <x:c r="A315" s="18" t="str">
        <x:v>D20</x:v>
      </x:c>
      <x:c r="B315" s="18" t="str">
        <x:v>热摩卡</x:v>
      </x:c>
      <x:c r="C315" s="18" t="str">
        <x:v>FINAL</x:v>
      </x:c>
      <x:c r="D315" s="18" t="str">
        <x:v>成品</x:v>
      </x:c>
      <x:c r="E315" s="18" t="str">
        <x:v>巧克力咖啡与奶油顶</x:v>
      </x:c>
      <x:c r="F315" s="18" t="str">
        <x:v>浓缩咖啡液×1 + 热牛奶×2 + 巧克力酱×1 + 打发奶油×1</x:v>
      </x:c>
      <x:c r="G315" s="18" t="str">
        <x:v>浓缩+巧克力酱+热奶→混合→最后加奶油</x:v>
      </x:c>
      <x:c r="H315" s="18" t="str">
        <x:v>调饮台</x:v>
      </x:c>
      <x:c r="I315" s="18" t="str">
        <x:v>热饮杯</x:v>
      </x:c>
      <x:c r="J315" s="18" t="str">
        <x:v>P50 浓缩咖啡液；P51 热牛奶；供货：巧克力酱；P39 打发奶油</x:v>
      </x:c>
    </x:row>
    <x:row r="316" ht="64" customHeight="1">
      <x:c r="A316" s="18" t="str">
        <x:v>D20</x:v>
      </x:c>
      <x:c r="B316" s="18" t="str">
        <x:v>热摩卡</x:v>
      </x:c>
      <x:c r="C316" s="18" t="str">
        <x:v>SERVE</x:v>
      </x:c>
      <x:c r="D316" s="18" t="str">
        <x:v>交付</x:v>
      </x:c>
      <x:c r="E316" s="18" t="str">
        <x:v>可交付订单</x:v>
      </x:c>
      <x:c r="F316" s="18" t="str">
        <x:v>已完成菜品</x:v>
      </x:c>
      <x:c r="G316" s="18" t="str">
        <x:v>完成饮品→交给另一位玩家核对并贴单→交付</x:v>
      </x:c>
      <x:c r="H316" s="18" t="str">
        <x:v>贴单台</x:v>
      </x:c>
      <x:c r="I316" s="18" t="str">
        <x:v>热饮杯</x:v>
      </x:c>
      <x:c r="J316" s="18" t="str">
        <x:v>FINAL</x:v>
      </x:c>
    </x:row>
    <x:row r="317" ht="64" customHeight="1">
      <x:c r="A317" s="18" t="str">
        <x:v>D21</x:v>
      </x:c>
      <x:c r="B317" s="18" t="str">
        <x:v>热红茶</x:v>
      </x:c>
      <x:c r="C317" s="18" t="str">
        <x:v>P41</x:v>
      </x:c>
      <x:c r="D317" s="18" t="str">
        <x:v>准备</x:v>
      </x:c>
      <x:c r="E317" s="18" t="str">
        <x:v>热水</x:v>
      </x:c>
      <x:c r="F317" s="18" t="str">
        <x:v>饮用水×1</x:v>
      </x:c>
      <x:c r="G317" s="18" t="str">
        <x:v>取水台热水档→取得热水</x:v>
      </x:c>
      <x:c r="H317" s="18" t="str">
        <x:v>取水台</x:v>
      </x:c>
      <x:c r="I317" s="18" t="str">
        <x:v>热水杯/壶</x:v>
      </x:c>
      <x:c r="J317" s="18" t="str">
        <x:v>供货：饮用水</x:v>
      </x:c>
    </x:row>
    <x:row r="318" ht="64" customHeight="1">
      <x:c r="A318" s="18" t="str">
        <x:v>D21</x:v>
      </x:c>
      <x:c r="B318" s="18" t="str">
        <x:v>热红茶</x:v>
      </x:c>
      <x:c r="C318" s="18" t="str">
        <x:v>P46</x:v>
      </x:c>
      <x:c r="D318" s="18" t="str">
        <x:v>准备</x:v>
      </x:c>
      <x:c r="E318" s="18" t="str">
        <x:v>红茶底</x:v>
      </x:c>
      <x:c r="F318" s="18" t="str">
        <x:v>红茶叶×1 + 热水×1</x:v>
      </x:c>
      <x:c r="G318" s="18" t="str">
        <x:v>红茶叶+热水→泡茶→红茶底</x:v>
      </x:c>
      <x:c r="H318" s="18" t="str">
        <x:v>泡茶桶</x:v>
      </x:c>
      <x:c r="I318" s="18" t="str">
        <x:v>茶桶</x:v>
      </x:c>
      <x:c r="J318" s="18" t="str">
        <x:v>供货：红茶叶；P41 热水</x:v>
      </x:c>
    </x:row>
    <x:row r="319" ht="64" customHeight="1">
      <x:c r="A319" s="18" t="str">
        <x:v>D21</x:v>
      </x:c>
      <x:c r="B319" s="18" t="str">
        <x:v>热红茶</x:v>
      </x:c>
      <x:c r="C319" s="18" t="str">
        <x:v>FINAL</x:v>
      </x:c>
      <x:c r="D319" s="18" t="str">
        <x:v>成品</x:v>
      </x:c>
      <x:c r="E319" s="18" t="str">
        <x:v>红褐色茶汤</x:v>
      </x:c>
      <x:c r="F319" s="18" t="str">
        <x:v>红茶底×1</x:v>
      </x:c>
      <x:c r="G319" s="18" t="str">
        <x:v>红茶底→分装热饮杯</x:v>
      </x:c>
      <x:c r="H319" s="18" t="str">
        <x:v>调饮台</x:v>
      </x:c>
      <x:c r="I319" s="18" t="str">
        <x:v>热饮杯</x:v>
      </x:c>
      <x:c r="J319" s="18" t="str">
        <x:v>P46 红茶底</x:v>
      </x:c>
    </x:row>
    <x:row r="320" ht="64" customHeight="1">
      <x:c r="A320" s="18" t="str">
        <x:v>D21</x:v>
      </x:c>
      <x:c r="B320" s="18" t="str">
        <x:v>热红茶</x:v>
      </x:c>
      <x:c r="C320" s="18" t="str">
        <x:v>SERVE</x:v>
      </x:c>
      <x:c r="D320" s="18" t="str">
        <x:v>交付</x:v>
      </x:c>
      <x:c r="E320" s="18" t="str">
        <x:v>可交付订单</x:v>
      </x:c>
      <x:c r="F320" s="18" t="str">
        <x:v>已完成菜品</x:v>
      </x:c>
      <x:c r="G320" s="18" t="str">
        <x:v>完成饮品→交给另一位玩家核对并贴单→交付</x:v>
      </x:c>
      <x:c r="H320" s="18" t="str">
        <x:v>贴单台</x:v>
      </x:c>
      <x:c r="I320" s="18" t="str">
        <x:v>热饮杯</x:v>
      </x:c>
      <x:c r="J320" s="18" t="str">
        <x:v>FINAL</x:v>
      </x:c>
    </x:row>
    <x:row r="321" ht="64" customHeight="1">
      <x:c r="A321" s="18" t="str">
        <x:v>D22</x:v>
      </x:c>
      <x:c r="B321" s="18" t="str">
        <x:v>热乌龙茶</x:v>
      </x:c>
      <x:c r="C321" s="18" t="str">
        <x:v>P41</x:v>
      </x:c>
      <x:c r="D321" s="18" t="str">
        <x:v>准备</x:v>
      </x:c>
      <x:c r="E321" s="18" t="str">
        <x:v>热水</x:v>
      </x:c>
      <x:c r="F321" s="18" t="str">
        <x:v>饮用水×1</x:v>
      </x:c>
      <x:c r="G321" s="18" t="str">
        <x:v>取水台热水档→取得热水</x:v>
      </x:c>
      <x:c r="H321" s="18" t="str">
        <x:v>取水台</x:v>
      </x:c>
      <x:c r="I321" s="18" t="str">
        <x:v>热水杯/壶</x:v>
      </x:c>
      <x:c r="J321" s="18" t="str">
        <x:v>供货：饮用水</x:v>
      </x:c>
    </x:row>
    <x:row r="322" ht="64" customHeight="1">
      <x:c r="A322" s="18" t="str">
        <x:v>D22</x:v>
      </x:c>
      <x:c r="B322" s="18" t="str">
        <x:v>热乌龙茶</x:v>
      </x:c>
      <x:c r="C322" s="18" t="str">
        <x:v>P48</x:v>
      </x:c>
      <x:c r="D322" s="18" t="str">
        <x:v>准备</x:v>
      </x:c>
      <x:c r="E322" s="18" t="str">
        <x:v>乌龙茶底</x:v>
      </x:c>
      <x:c r="F322" s="18" t="str">
        <x:v>乌龙茶叶×1 + 热水×1</x:v>
      </x:c>
      <x:c r="G322" s="18" t="str">
        <x:v>乌龙茶叶+热水→泡茶→乌龙茶底</x:v>
      </x:c>
      <x:c r="H322" s="18" t="str">
        <x:v>泡茶桶</x:v>
      </x:c>
      <x:c r="I322" s="18" t="str">
        <x:v>茶桶</x:v>
      </x:c>
      <x:c r="J322" s="18" t="str">
        <x:v>供货：乌龙茶叶；P41 热水</x:v>
      </x:c>
    </x:row>
    <x:row r="323" ht="64" customHeight="1">
      <x:c r="A323" s="18" t="str">
        <x:v>D22</x:v>
      </x:c>
      <x:c r="B323" s="18" t="str">
        <x:v>热乌龙茶</x:v>
      </x:c>
      <x:c r="C323" s="18" t="str">
        <x:v>FINAL</x:v>
      </x:c>
      <x:c r="D323" s="18" t="str">
        <x:v>成品</x:v>
      </x:c>
      <x:c r="E323" s="18" t="str">
        <x:v>乌龙茶汤</x:v>
      </x:c>
      <x:c r="F323" s="18" t="str">
        <x:v>乌龙茶底×1</x:v>
      </x:c>
      <x:c r="G323" s="18" t="str">
        <x:v>乌龙茶底→分装热饮杯</x:v>
      </x:c>
      <x:c r="H323" s="18" t="str">
        <x:v>调饮台</x:v>
      </x:c>
      <x:c r="I323" s="18" t="str">
        <x:v>热饮杯</x:v>
      </x:c>
      <x:c r="J323" s="18" t="str">
        <x:v>P48 乌龙茶底</x:v>
      </x:c>
    </x:row>
    <x:row r="324" ht="64" customHeight="1">
      <x:c r="A324" s="18" t="str">
        <x:v>D22</x:v>
      </x:c>
      <x:c r="B324" s="18" t="str">
        <x:v>热乌龙茶</x:v>
      </x:c>
      <x:c r="C324" s="18" t="str">
        <x:v>SERVE</x:v>
      </x:c>
      <x:c r="D324" s="18" t="str">
        <x:v>交付</x:v>
      </x:c>
      <x:c r="E324" s="18" t="str">
        <x:v>可交付订单</x:v>
      </x:c>
      <x:c r="F324" s="18" t="str">
        <x:v>已完成菜品</x:v>
      </x:c>
      <x:c r="G324" s="18" t="str">
        <x:v>完成饮品→交给另一位玩家核对并贴单→交付</x:v>
      </x:c>
      <x:c r="H324" s="18" t="str">
        <x:v>贴单台</x:v>
      </x:c>
      <x:c r="I324" s="18" t="str">
        <x:v>热饮杯</x:v>
      </x:c>
      <x:c r="J324" s="18" t="str">
        <x:v>FINAL</x:v>
      </x:c>
    </x:row>
    <x:row r="325" ht="64" customHeight="1">
      <x:c r="A325" s="18" t="str">
        <x:v>D23</x:v>
      </x:c>
      <x:c r="B325" s="18" t="str">
        <x:v>冰柠檬红茶</x:v>
      </x:c>
      <x:c r="C325" s="18" t="str">
        <x:v>P41</x:v>
      </x:c>
      <x:c r="D325" s="18" t="str">
        <x:v>准备</x:v>
      </x:c>
      <x:c r="E325" s="18" t="str">
        <x:v>热水</x:v>
      </x:c>
      <x:c r="F325" s="18" t="str">
        <x:v>饮用水×1</x:v>
      </x:c>
      <x:c r="G325" s="18" t="str">
        <x:v>取水台热水档→取得热水</x:v>
      </x:c>
      <x:c r="H325" s="18" t="str">
        <x:v>取水台</x:v>
      </x:c>
      <x:c r="I325" s="18" t="str">
        <x:v>热水杯/壶</x:v>
      </x:c>
      <x:c r="J325" s="18" t="str">
        <x:v>供货：饮用水</x:v>
      </x:c>
    </x:row>
    <x:row r="326" ht="64" customHeight="1">
      <x:c r="A326" s="18" t="str">
        <x:v>D23</x:v>
      </x:c>
      <x:c r="B326" s="18" t="str">
        <x:v>冰柠檬红茶</x:v>
      </x:c>
      <x:c r="C326" s="18" t="str">
        <x:v>P46</x:v>
      </x:c>
      <x:c r="D326" s="18" t="str">
        <x:v>准备</x:v>
      </x:c>
      <x:c r="E326" s="18" t="str">
        <x:v>红茶底</x:v>
      </x:c>
      <x:c r="F326" s="18" t="str">
        <x:v>红茶叶×1 + 热水×1</x:v>
      </x:c>
      <x:c r="G326" s="18" t="str">
        <x:v>红茶叶+热水→泡茶→红茶底</x:v>
      </x:c>
      <x:c r="H326" s="18" t="str">
        <x:v>泡茶桶</x:v>
      </x:c>
      <x:c r="I326" s="18" t="str">
        <x:v>茶桶</x:v>
      </x:c>
      <x:c r="J326" s="18" t="str">
        <x:v>供货：红茶叶；P41 热水</x:v>
      </x:c>
    </x:row>
    <x:row r="327" ht="64" customHeight="1">
      <x:c r="A327" s="18" t="str">
        <x:v>D23</x:v>
      </x:c>
      <x:c r="B327" s="18" t="str">
        <x:v>冰柠檬红茶</x:v>
      </x:c>
      <x:c r="C327" s="18" t="str">
        <x:v>P10</x:v>
      </x:c>
      <x:c r="D327" s="18" t="str">
        <x:v>准备</x:v>
      </x:c>
      <x:c r="E327" s="18" t="str">
        <x:v>柠檬片</x:v>
      </x:c>
      <x:c r="F327" s="18" t="str">
        <x:v>柠檬×1</x:v>
      </x:c>
      <x:c r="G327" s="18" t="str">
        <x:v>柠檬→切配→柠檬片</x:v>
      </x:c>
      <x:c r="H327" s="18" t="str">
        <x:v>切配台</x:v>
      </x:c>
      <x:c r="I327" s="18" t="str">
        <x:v>备料盒</x:v>
      </x:c>
      <x:c r="J327" s="18" t="str">
        <x:v>供货：柠檬</x:v>
      </x:c>
    </x:row>
    <x:row r="328" ht="64" customHeight="1">
      <x:c r="A328" s="18" t="str">
        <x:v>D23</x:v>
      </x:c>
      <x:c r="B328" s="18" t="str">
        <x:v>冰柠檬红茶</x:v>
      </x:c>
      <x:c r="C328" s="18" t="str">
        <x:v>FINAL</x:v>
      </x:c>
      <x:c r="D328" s="18" t="str">
        <x:v>成品</x:v>
      </x:c>
      <x:c r="E328" s="18" t="str">
        <x:v>有柠檬片的冰茶</x:v>
      </x:c>
      <x:c r="F328" s="18" t="str">
        <x:v>红茶底×2 + 柠檬片×1 + 糖浆×1 + 冰块×1</x:v>
      </x:c>
      <x:c r="G328" s="18" t="str">
        <x:v>红茶+糖浆→混合→加入柠檬片和冰</x:v>
      </x:c>
      <x:c r="H328" s="18" t="str">
        <x:v>调饮台</x:v>
      </x:c>
      <x:c r="I328" s="18" t="str">
        <x:v>透明冷饮杯</x:v>
      </x:c>
      <x:c r="J328" s="18" t="str">
        <x:v>P46 红茶底；P10 柠檬片；供货：糖浆；供货：冰块</x:v>
      </x:c>
    </x:row>
    <x:row r="329" ht="64" customHeight="1">
      <x:c r="A329" s="18" t="str">
        <x:v>D23</x:v>
      </x:c>
      <x:c r="B329" s="18" t="str">
        <x:v>冰柠檬红茶</x:v>
      </x:c>
      <x:c r="C329" s="18" t="str">
        <x:v>SERVE</x:v>
      </x:c>
      <x:c r="D329" s="18" t="str">
        <x:v>交付</x:v>
      </x:c>
      <x:c r="E329" s="18" t="str">
        <x:v>可交付订单</x:v>
      </x:c>
      <x:c r="F329" s="18" t="str">
        <x:v>已完成菜品</x:v>
      </x:c>
      <x:c r="G329" s="18" t="str">
        <x:v>完成饮品→交给另一位玩家核对并贴单→交付</x:v>
      </x:c>
      <x:c r="H329" s="18" t="str">
        <x:v>贴单台</x:v>
      </x:c>
      <x:c r="I329" s="18" t="str">
        <x:v>透明冷饮杯</x:v>
      </x:c>
      <x:c r="J329" s="18" t="str">
        <x:v>FINAL</x:v>
      </x:c>
    </x:row>
    <x:row r="330" ht="64" customHeight="1">
      <x:c r="A330" s="18" t="str">
        <x:v>D24</x:v>
      </x:c>
      <x:c r="B330" s="18" t="str">
        <x:v>冰鲜奶茶</x:v>
      </x:c>
      <x:c r="C330" s="18" t="str">
        <x:v>P41</x:v>
      </x:c>
      <x:c r="D330" s="18" t="str">
        <x:v>准备</x:v>
      </x:c>
      <x:c r="E330" s="18" t="str">
        <x:v>热水</x:v>
      </x:c>
      <x:c r="F330" s="18" t="str">
        <x:v>饮用水×1</x:v>
      </x:c>
      <x:c r="G330" s="18" t="str">
        <x:v>取水台热水档→取得热水</x:v>
      </x:c>
      <x:c r="H330" s="18" t="str">
        <x:v>取水台</x:v>
      </x:c>
      <x:c r="I330" s="18" t="str">
        <x:v>热水杯/壶</x:v>
      </x:c>
      <x:c r="J330" s="18" t="str">
        <x:v>供货：饮用水</x:v>
      </x:c>
    </x:row>
    <x:row r="331" ht="64" customHeight="1">
      <x:c r="A331" s="18" t="str">
        <x:v>D24</x:v>
      </x:c>
      <x:c r="B331" s="18" t="str">
        <x:v>冰鲜奶茶</x:v>
      </x:c>
      <x:c r="C331" s="18" t="str">
        <x:v>P46</x:v>
      </x:c>
      <x:c r="D331" s="18" t="str">
        <x:v>准备</x:v>
      </x:c>
      <x:c r="E331" s="18" t="str">
        <x:v>红茶底</x:v>
      </x:c>
      <x:c r="F331" s="18" t="str">
        <x:v>红茶叶×1 + 热水×1</x:v>
      </x:c>
      <x:c r="G331" s="18" t="str">
        <x:v>红茶叶+热水→泡茶→红茶底</x:v>
      </x:c>
      <x:c r="H331" s="18" t="str">
        <x:v>泡茶桶</x:v>
      </x:c>
      <x:c r="I331" s="18" t="str">
        <x:v>茶桶</x:v>
      </x:c>
      <x:c r="J331" s="18" t="str">
        <x:v>供货：红茶叶；P41 热水</x:v>
      </x:c>
    </x:row>
    <x:row r="332" ht="64" customHeight="1">
      <x:c r="A332" s="18" t="str">
        <x:v>D24</x:v>
      </x:c>
      <x:c r="B332" s="18" t="str">
        <x:v>冰鲜奶茶</x:v>
      </x:c>
      <x:c r="C332" s="18" t="str">
        <x:v>P55</x:v>
      </x:c>
      <x:c r="D332" s="18" t="str">
        <x:v>准备</x:v>
      </x:c>
      <x:c r="E332" s="18" t="str">
        <x:v>奶茶基底</x:v>
      </x:c>
      <x:c r="F332" s="18" t="str">
        <x:v>红茶底×1 + 牛奶×1 + 糖浆×1</x:v>
      </x:c>
      <x:c r="G332" s="18" t="str">
        <x:v>红茶底+牛奶+糖浆→定份混合</x:v>
      </x:c>
      <x:c r="H332" s="18" t="str">
        <x:v>调饮台</x:v>
      </x:c>
      <x:c r="I332" s="18" t="str">
        <x:v>调饮壶</x:v>
      </x:c>
      <x:c r="J332" s="18" t="str">
        <x:v>P46 红茶底；供货：牛奶；供货：糖浆</x:v>
      </x:c>
    </x:row>
    <x:row r="333" ht="64" customHeight="1">
      <x:c r="A333" s="18" t="str">
        <x:v>D24</x:v>
      </x:c>
      <x:c r="B333" s="18" t="str">
        <x:v>冰鲜奶茶</x:v>
      </x:c>
      <x:c r="C333" s="18" t="str">
        <x:v>FINAL</x:v>
      </x:c>
      <x:c r="D333" s="18" t="str">
        <x:v>成品</x:v>
      </x:c>
      <x:c r="E333" s="18" t="str">
        <x:v>冰奶茶</x:v>
      </x:c>
      <x:c r="F333" s="18" t="str">
        <x:v>奶茶基底×1 + 冰块×1</x:v>
      </x:c>
      <x:c r="G333" s="18" t="str">
        <x:v>鲜奶茶基底→分装→加冰</x:v>
      </x:c>
      <x:c r="H333" s="18" t="str">
        <x:v>调饮台</x:v>
      </x:c>
      <x:c r="I333" s="18" t="str">
        <x:v>透明冷饮杯</x:v>
      </x:c>
      <x:c r="J333" s="18" t="str">
        <x:v>P55 奶茶基底；供货：冰块</x:v>
      </x:c>
    </x:row>
    <x:row r="334" ht="64" customHeight="1">
      <x:c r="A334" s="18" t="str">
        <x:v>D24</x:v>
      </x:c>
      <x:c r="B334" s="18" t="str">
        <x:v>冰鲜奶茶</x:v>
      </x:c>
      <x:c r="C334" s="18" t="str">
        <x:v>SERVE</x:v>
      </x:c>
      <x:c r="D334" s="18" t="str">
        <x:v>交付</x:v>
      </x:c>
      <x:c r="E334" s="18" t="str">
        <x:v>可交付订单</x:v>
      </x:c>
      <x:c r="F334" s="18" t="str">
        <x:v>已完成菜品</x:v>
      </x:c>
      <x:c r="G334" s="18" t="str">
        <x:v>完成饮品→交给另一位玩家核对并贴单→交付</x:v>
      </x:c>
      <x:c r="H334" s="18" t="str">
        <x:v>贴单台</x:v>
      </x:c>
      <x:c r="I334" s="18" t="str">
        <x:v>透明冷饮杯</x:v>
      </x:c>
      <x:c r="J334" s="18" t="str">
        <x:v>FINAL</x:v>
      </x:c>
    </x:row>
    <x:row r="335" ht="64" customHeight="1">
      <x:c r="A335" s="18" t="str">
        <x:v>D25</x:v>
      </x:c>
      <x:c r="B335" s="18" t="str">
        <x:v>珍珠奶茶</x:v>
      </x:c>
      <x:c r="C335" s="18" t="str">
        <x:v>P41</x:v>
      </x:c>
      <x:c r="D335" s="18" t="str">
        <x:v>准备</x:v>
      </x:c>
      <x:c r="E335" s="18" t="str">
        <x:v>热水</x:v>
      </x:c>
      <x:c r="F335" s="18" t="str">
        <x:v>饮用水×1</x:v>
      </x:c>
      <x:c r="G335" s="18" t="str">
        <x:v>取水台热水档→取得热水</x:v>
      </x:c>
      <x:c r="H335" s="18" t="str">
        <x:v>取水台</x:v>
      </x:c>
      <x:c r="I335" s="18" t="str">
        <x:v>热水杯/壶</x:v>
      </x:c>
      <x:c r="J335" s="18" t="str">
        <x:v>供货：饮用水</x:v>
      </x:c>
    </x:row>
    <x:row r="336" ht="64" customHeight="1">
      <x:c r="A336" s="18" t="str">
        <x:v>D25</x:v>
      </x:c>
      <x:c r="B336" s="18" t="str">
        <x:v>珍珠奶茶</x:v>
      </x:c>
      <x:c r="C336" s="18" t="str">
        <x:v>P46</x:v>
      </x:c>
      <x:c r="D336" s="18" t="str">
        <x:v>准备</x:v>
      </x:c>
      <x:c r="E336" s="18" t="str">
        <x:v>红茶底</x:v>
      </x:c>
      <x:c r="F336" s="18" t="str">
        <x:v>红茶叶×1 + 热水×1</x:v>
      </x:c>
      <x:c r="G336" s="18" t="str">
        <x:v>红茶叶+热水→泡茶→红茶底</x:v>
      </x:c>
      <x:c r="H336" s="18" t="str">
        <x:v>泡茶桶</x:v>
      </x:c>
      <x:c r="I336" s="18" t="str">
        <x:v>茶桶</x:v>
      </x:c>
      <x:c r="J336" s="18" t="str">
        <x:v>供货：红茶叶；P41 热水</x:v>
      </x:c>
    </x:row>
    <x:row r="337" ht="64" customHeight="1">
      <x:c r="A337" s="18" t="str">
        <x:v>D25</x:v>
      </x:c>
      <x:c r="B337" s="18" t="str">
        <x:v>珍珠奶茶</x:v>
      </x:c>
      <x:c r="C337" s="18" t="str">
        <x:v>P55</x:v>
      </x:c>
      <x:c r="D337" s="18" t="str">
        <x:v>准备</x:v>
      </x:c>
      <x:c r="E337" s="18" t="str">
        <x:v>奶茶基底</x:v>
      </x:c>
      <x:c r="F337" s="18" t="str">
        <x:v>红茶底×1 + 牛奶×1 + 糖浆×1</x:v>
      </x:c>
      <x:c r="G337" s="18" t="str">
        <x:v>红茶底+牛奶+糖浆→定份混合</x:v>
      </x:c>
      <x:c r="H337" s="18" t="str">
        <x:v>调饮台</x:v>
      </x:c>
      <x:c r="I337" s="18" t="str">
        <x:v>调饮壶</x:v>
      </x:c>
      <x:c r="J337" s="18" t="str">
        <x:v>P46 红茶底；供货：牛奶；供货：糖浆</x:v>
      </x:c>
    </x:row>
    <x:row r="338" ht="64" customHeight="1">
      <x:c r="A338" s="18" t="str">
        <x:v>D25</x:v>
      </x:c>
      <x:c r="B338" s="18" t="str">
        <x:v>珍珠奶茶</x:v>
      </x:c>
      <x:c r="C338" s="18" t="str">
        <x:v>P53</x:v>
      </x:c>
      <x:c r="D338" s="18" t="str">
        <x:v>准备</x:v>
      </x:c>
      <x:c r="E338" s="18" t="str">
        <x:v>熟珍珠</x:v>
      </x:c>
      <x:c r="F338" s="18" t="str">
        <x:v>生珍珠×1</x:v>
      </x:c>
      <x:c r="G338" s="18" t="str">
        <x:v>生珍珠→煮熟→转入小料罐</x:v>
      </x:c>
      <x:c r="H338" s="18" t="str">
        <x:v>煮锅</x:v>
      </x:c>
      <x:c r="I338" s="18" t="str">
        <x:v>小料罐</x:v>
      </x:c>
      <x:c r="J338" s="18" t="str">
        <x:v>供货：生珍珠</x:v>
      </x:c>
    </x:row>
    <x:row r="339" ht="64" customHeight="1">
      <x:c r="A339" s="18" t="str">
        <x:v>D25</x:v>
      </x:c>
      <x:c r="B339" s="18" t="str">
        <x:v>珍珠奶茶</x:v>
      </x:c>
      <x:c r="C339" s="18" t="str">
        <x:v>FINAL</x:v>
      </x:c>
      <x:c r="D339" s="18" t="str">
        <x:v>成品</x:v>
      </x:c>
      <x:c r="E339" s="18" t="str">
        <x:v>底部有珍珠的奶茶</x:v>
      </x:c>
      <x:c r="F339" s="18" t="str">
        <x:v>奶茶基底×1 + 熟珍珠×1 + 冰块×1</x:v>
      </x:c>
      <x:c r="G339" s="18" t="str">
        <x:v>杯中放熟珍珠→倒奶茶基底→加冰</x:v>
      </x:c>
      <x:c r="H339" s="18" t="str">
        <x:v>调饮台</x:v>
      </x:c>
      <x:c r="I339" s="18" t="str">
        <x:v>透明冷饮杯</x:v>
      </x:c>
      <x:c r="J339" s="18" t="str">
        <x:v>P55 奶茶基底；P53 熟珍珠；供货：冰块</x:v>
      </x:c>
    </x:row>
    <x:row r="340" ht="64" customHeight="1">
      <x:c r="A340" s="18" t="str">
        <x:v>D25</x:v>
      </x:c>
      <x:c r="B340" s="18" t="str">
        <x:v>珍珠奶茶</x:v>
      </x:c>
      <x:c r="C340" s="18" t="str">
        <x:v>SERVE</x:v>
      </x:c>
      <x:c r="D340" s="18" t="str">
        <x:v>交付</x:v>
      </x:c>
      <x:c r="E340" s="18" t="str">
        <x:v>可交付订单</x:v>
      </x:c>
      <x:c r="F340" s="18" t="str">
        <x:v>已完成菜品</x:v>
      </x:c>
      <x:c r="G340" s="18" t="str">
        <x:v>完成饮品→交给另一位玩家核对并贴单→交付</x:v>
      </x:c>
      <x:c r="H340" s="18" t="str">
        <x:v>贴单台</x:v>
      </x:c>
      <x:c r="I340" s="18" t="str">
        <x:v>透明冷饮杯</x:v>
      </x:c>
      <x:c r="J340" s="18" t="str">
        <x:v>FINAL</x:v>
      </x:c>
    </x:row>
    <x:row r="341" ht="64" customHeight="1">
      <x:c r="A341" s="18" t="str">
        <x:v>D26</x:v>
      </x:c>
      <x:c r="B341" s="18" t="str">
        <x:v>椰果奶茶</x:v>
      </x:c>
      <x:c r="C341" s="18" t="str">
        <x:v>P41</x:v>
      </x:c>
      <x:c r="D341" s="18" t="str">
        <x:v>准备</x:v>
      </x:c>
      <x:c r="E341" s="18" t="str">
        <x:v>热水</x:v>
      </x:c>
      <x:c r="F341" s="18" t="str">
        <x:v>饮用水×1</x:v>
      </x:c>
      <x:c r="G341" s="18" t="str">
        <x:v>取水台热水档→取得热水</x:v>
      </x:c>
      <x:c r="H341" s="18" t="str">
        <x:v>取水台</x:v>
      </x:c>
      <x:c r="I341" s="18" t="str">
        <x:v>热水杯/壶</x:v>
      </x:c>
      <x:c r="J341" s="18" t="str">
        <x:v>供货：饮用水</x:v>
      </x:c>
    </x:row>
    <x:row r="342" ht="64" customHeight="1">
      <x:c r="A342" s="18" t="str">
        <x:v>D26</x:v>
      </x:c>
      <x:c r="B342" s="18" t="str">
        <x:v>椰果奶茶</x:v>
      </x:c>
      <x:c r="C342" s="18" t="str">
        <x:v>P46</x:v>
      </x:c>
      <x:c r="D342" s="18" t="str">
        <x:v>准备</x:v>
      </x:c>
      <x:c r="E342" s="18" t="str">
        <x:v>红茶底</x:v>
      </x:c>
      <x:c r="F342" s="18" t="str">
        <x:v>红茶叶×1 + 热水×1</x:v>
      </x:c>
      <x:c r="G342" s="18" t="str">
        <x:v>红茶叶+热水→泡茶→红茶底</x:v>
      </x:c>
      <x:c r="H342" s="18" t="str">
        <x:v>泡茶桶</x:v>
      </x:c>
      <x:c r="I342" s="18" t="str">
        <x:v>茶桶</x:v>
      </x:c>
      <x:c r="J342" s="18" t="str">
        <x:v>供货：红茶叶；P41 热水</x:v>
      </x:c>
    </x:row>
    <x:row r="343" ht="64" customHeight="1">
      <x:c r="A343" s="18" t="str">
        <x:v>D26</x:v>
      </x:c>
      <x:c r="B343" s="18" t="str">
        <x:v>椰果奶茶</x:v>
      </x:c>
      <x:c r="C343" s="18" t="str">
        <x:v>P55</x:v>
      </x:c>
      <x:c r="D343" s="18" t="str">
        <x:v>准备</x:v>
      </x:c>
      <x:c r="E343" s="18" t="str">
        <x:v>奶茶基底</x:v>
      </x:c>
      <x:c r="F343" s="18" t="str">
        <x:v>红茶底×1 + 牛奶×1 + 糖浆×1</x:v>
      </x:c>
      <x:c r="G343" s="18" t="str">
        <x:v>红茶底+牛奶+糖浆→定份混合</x:v>
      </x:c>
      <x:c r="H343" s="18" t="str">
        <x:v>调饮台</x:v>
      </x:c>
      <x:c r="I343" s="18" t="str">
        <x:v>调饮壶</x:v>
      </x:c>
      <x:c r="J343" s="18" t="str">
        <x:v>P46 红茶底；供货：牛奶；供货：糖浆</x:v>
      </x:c>
    </x:row>
    <x:row r="344" ht="64" customHeight="1">
      <x:c r="A344" s="18" t="str">
        <x:v>D26</x:v>
      </x:c>
      <x:c r="B344" s="18" t="str">
        <x:v>椰果奶茶</x:v>
      </x:c>
      <x:c r="C344" s="18" t="str">
        <x:v>FINAL</x:v>
      </x:c>
      <x:c r="D344" s="18" t="str">
        <x:v>成品</x:v>
      </x:c>
      <x:c r="E344" s="18" t="str">
        <x:v>椰果奶茶</x:v>
      </x:c>
      <x:c r="F344" s="18" t="str">
        <x:v>奶茶基底×1 + 椰果×1 + 冰块×1</x:v>
      </x:c>
      <x:c r="G344" s="18" t="str">
        <x:v>杯中放椰果→倒奶茶基底→加冰</x:v>
      </x:c>
      <x:c r="H344" s="18" t="str">
        <x:v>调饮台</x:v>
      </x:c>
      <x:c r="I344" s="18" t="str">
        <x:v>透明冷饮杯</x:v>
      </x:c>
      <x:c r="J344" s="18" t="str">
        <x:v>P55 奶茶基底；供货：椰果；供货：冰块</x:v>
      </x:c>
    </x:row>
    <x:row r="345" ht="64" customHeight="1">
      <x:c r="A345" s="18" t="str">
        <x:v>D26</x:v>
      </x:c>
      <x:c r="B345" s="18" t="str">
        <x:v>椰果奶茶</x:v>
      </x:c>
      <x:c r="C345" s="18" t="str">
        <x:v>SERVE</x:v>
      </x:c>
      <x:c r="D345" s="18" t="str">
        <x:v>交付</x:v>
      </x:c>
      <x:c r="E345" s="18" t="str">
        <x:v>可交付订单</x:v>
      </x:c>
      <x:c r="F345" s="18" t="str">
        <x:v>已完成菜品</x:v>
      </x:c>
      <x:c r="G345" s="18" t="str">
        <x:v>完成饮品→交给另一位玩家核对并贴单→交付</x:v>
      </x:c>
      <x:c r="H345" s="18" t="str">
        <x:v>贴单台</x:v>
      </x:c>
      <x:c r="I345" s="18" t="str">
        <x:v>透明冷饮杯</x:v>
      </x:c>
      <x:c r="J345" s="18" t="str">
        <x:v>FINAL</x:v>
      </x:c>
    </x:row>
    <x:row r="346" ht="64" customHeight="1">
      <x:c r="A346" s="18" t="str">
        <x:v>D27</x:v>
      </x:c>
      <x:c r="B346" s="18" t="str">
        <x:v>仙草奶茶</x:v>
      </x:c>
      <x:c r="C346" s="18" t="str">
        <x:v>P41</x:v>
      </x:c>
      <x:c r="D346" s="18" t="str">
        <x:v>准备</x:v>
      </x:c>
      <x:c r="E346" s="18" t="str">
        <x:v>热水</x:v>
      </x:c>
      <x:c r="F346" s="18" t="str">
        <x:v>饮用水×1</x:v>
      </x:c>
      <x:c r="G346" s="18" t="str">
        <x:v>取水台热水档→取得热水</x:v>
      </x:c>
      <x:c r="H346" s="18" t="str">
        <x:v>取水台</x:v>
      </x:c>
      <x:c r="I346" s="18" t="str">
        <x:v>热水杯/壶</x:v>
      </x:c>
      <x:c r="J346" s="18" t="str">
        <x:v>供货：饮用水</x:v>
      </x:c>
    </x:row>
    <x:row r="347" ht="64" customHeight="1">
      <x:c r="A347" s="18" t="str">
        <x:v>D27</x:v>
      </x:c>
      <x:c r="B347" s="18" t="str">
        <x:v>仙草奶茶</x:v>
      </x:c>
      <x:c r="C347" s="18" t="str">
        <x:v>P46</x:v>
      </x:c>
      <x:c r="D347" s="18" t="str">
        <x:v>准备</x:v>
      </x:c>
      <x:c r="E347" s="18" t="str">
        <x:v>红茶底</x:v>
      </x:c>
      <x:c r="F347" s="18" t="str">
        <x:v>红茶叶×1 + 热水×1</x:v>
      </x:c>
      <x:c r="G347" s="18" t="str">
        <x:v>红茶叶+热水→泡茶→红茶底</x:v>
      </x:c>
      <x:c r="H347" s="18" t="str">
        <x:v>泡茶桶</x:v>
      </x:c>
      <x:c r="I347" s="18" t="str">
        <x:v>茶桶</x:v>
      </x:c>
      <x:c r="J347" s="18" t="str">
        <x:v>供货：红茶叶；P41 热水</x:v>
      </x:c>
    </x:row>
    <x:row r="348" ht="64" customHeight="1">
      <x:c r="A348" s="18" t="str">
        <x:v>D27</x:v>
      </x:c>
      <x:c r="B348" s="18" t="str">
        <x:v>仙草奶茶</x:v>
      </x:c>
      <x:c r="C348" s="18" t="str">
        <x:v>P55</x:v>
      </x:c>
      <x:c r="D348" s="18" t="str">
        <x:v>准备</x:v>
      </x:c>
      <x:c r="E348" s="18" t="str">
        <x:v>奶茶基底</x:v>
      </x:c>
      <x:c r="F348" s="18" t="str">
        <x:v>红茶底×1 + 牛奶×1 + 糖浆×1</x:v>
      </x:c>
      <x:c r="G348" s="18" t="str">
        <x:v>红茶底+牛奶+糖浆→定份混合</x:v>
      </x:c>
      <x:c r="H348" s="18" t="str">
        <x:v>调饮台</x:v>
      </x:c>
      <x:c r="I348" s="18" t="str">
        <x:v>调饮壶</x:v>
      </x:c>
      <x:c r="J348" s="18" t="str">
        <x:v>P46 红茶底；供货：牛奶；供货：糖浆</x:v>
      </x:c>
    </x:row>
    <x:row r="349" ht="64" customHeight="1">
      <x:c r="A349" s="18" t="str">
        <x:v>D27</x:v>
      </x:c>
      <x:c r="B349" s="18" t="str">
        <x:v>仙草奶茶</x:v>
      </x:c>
      <x:c r="C349" s="18" t="str">
        <x:v>FINAL</x:v>
      </x:c>
      <x:c r="D349" s="18" t="str">
        <x:v>成品</x:v>
      </x:c>
      <x:c r="E349" s="18" t="str">
        <x:v>深色仙草块奶茶</x:v>
      </x:c>
      <x:c r="F349" s="18" t="str">
        <x:v>奶茶基底×1 + 仙草冻×1 + 冰块×1</x:v>
      </x:c>
      <x:c r="G349" s="18" t="str">
        <x:v>杯中放仙草冻→倒奶茶基底→加冰</x:v>
      </x:c>
      <x:c r="H349" s="18" t="str">
        <x:v>调饮台</x:v>
      </x:c>
      <x:c r="I349" s="18" t="str">
        <x:v>透明冷饮杯</x:v>
      </x:c>
      <x:c r="J349" s="18" t="str">
        <x:v>P55 奶茶基底；供货：仙草冻；供货：冰块</x:v>
      </x:c>
    </x:row>
    <x:row r="350" ht="64" customHeight="1">
      <x:c r="A350" s="18" t="str">
        <x:v>D27</x:v>
      </x:c>
      <x:c r="B350" s="18" t="str">
        <x:v>仙草奶茶</x:v>
      </x:c>
      <x:c r="C350" s="18" t="str">
        <x:v>SERVE</x:v>
      </x:c>
      <x:c r="D350" s="18" t="str">
        <x:v>交付</x:v>
      </x:c>
      <x:c r="E350" s="18" t="str">
        <x:v>可交付订单</x:v>
      </x:c>
      <x:c r="F350" s="18" t="str">
        <x:v>已完成菜品</x:v>
      </x:c>
      <x:c r="G350" s="18" t="str">
        <x:v>完成饮品→交给另一位玩家核对并贴单→交付</x:v>
      </x:c>
      <x:c r="H350" s="18" t="str">
        <x:v>贴单台</x:v>
      </x:c>
      <x:c r="I350" s="18" t="str">
        <x:v>透明冷饮杯</x:v>
      </x:c>
      <x:c r="J350" s="18" t="str">
        <x:v>FINAL</x:v>
      </x:c>
    </x:row>
    <x:row r="351" ht="64" customHeight="1">
      <x:c r="A351" s="18" t="str">
        <x:v>D28</x:v>
      </x:c>
      <x:c r="B351" s="18" t="str">
        <x:v>黑糖珍珠鲜奶</x:v>
      </x:c>
      <x:c r="C351" s="18" t="str">
        <x:v>P53</x:v>
      </x:c>
      <x:c r="D351" s="18" t="str">
        <x:v>准备</x:v>
      </x:c>
      <x:c r="E351" s="18" t="str">
        <x:v>熟珍珠</x:v>
      </x:c>
      <x:c r="F351" s="18" t="str">
        <x:v>生珍珠×1</x:v>
      </x:c>
      <x:c r="G351" s="18" t="str">
        <x:v>生珍珠→煮熟→转入小料罐</x:v>
      </x:c>
      <x:c r="H351" s="18" t="str">
        <x:v>煮锅</x:v>
      </x:c>
      <x:c r="I351" s="18" t="str">
        <x:v>小料罐</x:v>
      </x:c>
      <x:c r="J351" s="18" t="str">
        <x:v>供货：生珍珠</x:v>
      </x:c>
    </x:row>
    <x:row r="352" ht="64" customHeight="1">
      <x:c r="A352" s="18" t="str">
        <x:v>D28</x:v>
      </x:c>
      <x:c r="B352" s="18" t="str">
        <x:v>黑糖珍珠鲜奶</x:v>
      </x:c>
      <x:c r="C352" s="18" t="str">
        <x:v>P54</x:v>
      </x:c>
      <x:c r="D352" s="18" t="str">
        <x:v>准备</x:v>
      </x:c>
      <x:c r="E352" s="18" t="str">
        <x:v>黑糖珍珠</x:v>
      </x:c>
      <x:c r="F352" s="18" t="str">
        <x:v>熟珍珠×1 + 黑糖浆×1</x:v>
      </x:c>
      <x:c r="G352" s="18" t="str">
        <x:v>熟珍珠+黑糖浆→混合</x:v>
      </x:c>
      <x:c r="H352" s="18" t="str">
        <x:v>调饮台</x:v>
      </x:c>
      <x:c r="I352" s="18" t="str">
        <x:v>小料罐</x:v>
      </x:c>
      <x:c r="J352" s="18" t="str">
        <x:v>P53 熟珍珠；供货：黑糖浆</x:v>
      </x:c>
    </x:row>
    <x:row r="353" ht="64" customHeight="1">
      <x:c r="A353" s="18" t="str">
        <x:v>D28</x:v>
      </x:c>
      <x:c r="B353" s="18" t="str">
        <x:v>黑糖珍珠鲜奶</x:v>
      </x:c>
      <x:c r="C353" s="18" t="str">
        <x:v>FINAL</x:v>
      </x:c>
      <x:c r="D353" s="18" t="str">
        <x:v>成品</x:v>
      </x:c>
      <x:c r="E353" s="18" t="str">
        <x:v>黑糖纹理鲜奶</x:v>
      </x:c>
      <x:c r="F353" s="18" t="str">
        <x:v>黑糖珍珠×1 + 牛奶×2 + 冰块×1</x:v>
      </x:c>
      <x:c r="G353" s="18" t="str">
        <x:v>黑糖珍珠入杯→加牛奶→加冰</x:v>
      </x:c>
      <x:c r="H353" s="18" t="str">
        <x:v>调饮台</x:v>
      </x:c>
      <x:c r="I353" s="18" t="str">
        <x:v>透明冷饮杯</x:v>
      </x:c>
      <x:c r="J353" s="18" t="str">
        <x:v>P54 黑糖珍珠；供货：牛奶；供货：冰块</x:v>
      </x:c>
    </x:row>
    <x:row r="354" ht="64" customHeight="1">
      <x:c r="A354" s="18" t="str">
        <x:v>D28</x:v>
      </x:c>
      <x:c r="B354" s="18" t="str">
        <x:v>黑糖珍珠鲜奶</x:v>
      </x:c>
      <x:c r="C354" s="18" t="str">
        <x:v>SERVE</x:v>
      </x:c>
      <x:c r="D354" s="18" t="str">
        <x:v>交付</x:v>
      </x:c>
      <x:c r="E354" s="18" t="str">
        <x:v>可交付订单</x:v>
      </x:c>
      <x:c r="F354" s="18" t="str">
        <x:v>已完成菜品</x:v>
      </x:c>
      <x:c r="G354" s="18" t="str">
        <x:v>完成饮品→交给另一位玩家核对并贴单→交付</x:v>
      </x:c>
      <x:c r="H354" s="18" t="str">
        <x:v>贴单台</x:v>
      </x:c>
      <x:c r="I354" s="18" t="str">
        <x:v>透明冷饮杯</x:v>
      </x:c>
      <x:c r="J354" s="18" t="str">
        <x:v>FINAL</x:v>
      </x:c>
    </x:row>
    <x:row r="355" ht="64" customHeight="1">
      <x:c r="A355" s="18" t="str">
        <x:v>D29</x:v>
      </x:c>
      <x:c r="B355" s="18" t="str">
        <x:v>草莓红茶</x:v>
      </x:c>
      <x:c r="C355" s="18" t="str">
        <x:v>P13</x:v>
      </x:c>
      <x:c r="D355" s="18" t="str">
        <x:v>准备</x:v>
      </x:c>
      <x:c r="E355" s="18" t="str">
        <x:v>草莓块</x:v>
      </x:c>
      <x:c r="F355" s="18" t="str">
        <x:v>草莓×1</x:v>
      </x:c>
      <x:c r="G355" s="18" t="str">
        <x:v>草莓→切配→草莓块</x:v>
      </x:c>
      <x:c r="H355" s="18" t="str">
        <x:v>切配台</x:v>
      </x:c>
      <x:c r="I355" s="18" t="str">
        <x:v>备料盒</x:v>
      </x:c>
      <x:c r="J355" s="18" t="str">
        <x:v>供货：草莓</x:v>
      </x:c>
    </x:row>
    <x:row r="356" ht="64" customHeight="1">
      <x:c r="A356" s="18" t="str">
        <x:v>D29</x:v>
      </x:c>
      <x:c r="B356" s="18" t="str">
        <x:v>草莓红茶</x:v>
      </x:c>
      <x:c r="C356" s="18" t="str">
        <x:v>P56</x:v>
      </x:c>
      <x:c r="D356" s="18" t="str">
        <x:v>准备</x:v>
      </x:c>
      <x:c r="E356" s="18" t="str">
        <x:v>草莓果泥</x:v>
      </x:c>
      <x:c r="F356" s="18" t="str">
        <x:v>草莓块×1</x:v>
      </x:c>
      <x:c r="G356" s="18" t="str">
        <x:v>草莓块→短搅打成泥</x:v>
      </x:c>
      <x:c r="H356" s="18" t="str">
        <x:v>搅打机</x:v>
      </x:c>
      <x:c r="I356" s="18" t="str">
        <x:v>配料罐</x:v>
      </x:c>
      <x:c r="J356" s="18" t="str">
        <x:v>P13 草莓块</x:v>
      </x:c>
    </x:row>
    <x:row r="357" ht="64" customHeight="1">
      <x:c r="A357" s="18" t="str">
        <x:v>D29</x:v>
      </x:c>
      <x:c r="B357" s="18" t="str">
        <x:v>草莓红茶</x:v>
      </x:c>
      <x:c r="C357" s="18" t="str">
        <x:v>P41</x:v>
      </x:c>
      <x:c r="D357" s="18" t="str">
        <x:v>准备</x:v>
      </x:c>
      <x:c r="E357" s="18" t="str">
        <x:v>热水</x:v>
      </x:c>
      <x:c r="F357" s="18" t="str">
        <x:v>饮用水×1</x:v>
      </x:c>
      <x:c r="G357" s="18" t="str">
        <x:v>取水台热水档→取得热水</x:v>
      </x:c>
      <x:c r="H357" s="18" t="str">
        <x:v>取水台</x:v>
      </x:c>
      <x:c r="I357" s="18" t="str">
        <x:v>热水杯/壶</x:v>
      </x:c>
      <x:c r="J357" s="18" t="str">
        <x:v>供货：饮用水</x:v>
      </x:c>
    </x:row>
    <x:row r="358" ht="64" customHeight="1">
      <x:c r="A358" s="18" t="str">
        <x:v>D29</x:v>
      </x:c>
      <x:c r="B358" s="18" t="str">
        <x:v>草莓红茶</x:v>
      </x:c>
      <x:c r="C358" s="18" t="str">
        <x:v>P46</x:v>
      </x:c>
      <x:c r="D358" s="18" t="str">
        <x:v>准备</x:v>
      </x:c>
      <x:c r="E358" s="18" t="str">
        <x:v>红茶底</x:v>
      </x:c>
      <x:c r="F358" s="18" t="str">
        <x:v>红茶叶×1 + 热水×1</x:v>
      </x:c>
      <x:c r="G358" s="18" t="str">
        <x:v>红茶叶+热水→泡茶→红茶底</x:v>
      </x:c>
      <x:c r="H358" s="18" t="str">
        <x:v>泡茶桶</x:v>
      </x:c>
      <x:c r="I358" s="18" t="str">
        <x:v>茶桶</x:v>
      </x:c>
      <x:c r="J358" s="18" t="str">
        <x:v>供货：红茶叶；P41 热水</x:v>
      </x:c>
    </x:row>
    <x:row r="359" ht="64" customHeight="1">
      <x:c r="A359" s="18" t="str">
        <x:v>D29</x:v>
      </x:c>
      <x:c r="B359" s="18" t="str">
        <x:v>草莓红茶</x:v>
      </x:c>
      <x:c r="C359" s="18" t="str">
        <x:v>FINAL</x:v>
      </x:c>
      <x:c r="D359" s="18" t="str">
        <x:v>成品</x:v>
      </x:c>
      <x:c r="E359" s="18" t="str">
        <x:v>草莓果茶</x:v>
      </x:c>
      <x:c r="F359" s="18" t="str">
        <x:v>草莓果泥×1 + 红茶底×2 + 糖浆×1 + 冰块×1</x:v>
      </x:c>
      <x:c r="G359" s="18" t="str">
        <x:v>草莓果泥+红茶+糖浆→混合→加冰</x:v>
      </x:c>
      <x:c r="H359" s="18" t="str">
        <x:v>调饮台</x:v>
      </x:c>
      <x:c r="I359" s="18" t="str">
        <x:v>透明冷饮杯</x:v>
      </x:c>
      <x:c r="J359" s="18" t="str">
        <x:v>P56 草莓果泥；P46 红茶底；供货：糖浆；供货：冰块</x:v>
      </x:c>
    </x:row>
    <x:row r="360" ht="64" customHeight="1">
      <x:c r="A360" s="18" t="str">
        <x:v>D29</x:v>
      </x:c>
      <x:c r="B360" s="18" t="str">
        <x:v>草莓红茶</x:v>
      </x:c>
      <x:c r="C360" s="18" t="str">
        <x:v>SERVE</x:v>
      </x:c>
      <x:c r="D360" s="18" t="str">
        <x:v>交付</x:v>
      </x:c>
      <x:c r="E360" s="18" t="str">
        <x:v>可交付订单</x:v>
      </x:c>
      <x:c r="F360" s="18" t="str">
        <x:v>已完成菜品</x:v>
      </x:c>
      <x:c r="G360" s="18" t="str">
        <x:v>完成饮品→交给另一位玩家核对并贴单→交付</x:v>
      </x:c>
      <x:c r="H360" s="18" t="str">
        <x:v>贴单台</x:v>
      </x:c>
      <x:c r="I360" s="18" t="str">
        <x:v>透明冷饮杯</x:v>
      </x:c>
      <x:c r="J360" s="18" t="str">
        <x:v>FINAL</x:v>
      </x:c>
    </x:row>
    <x:row r="361" ht="64" customHeight="1">
      <x:c r="A361" s="18" t="str">
        <x:v>D30</x:v>
      </x:c>
      <x:c r="B361" s="18" t="str">
        <x:v>芒果绿茶</x:v>
      </x:c>
      <x:c r="C361" s="18" t="str">
        <x:v>P14</x:v>
      </x:c>
      <x:c r="D361" s="18" t="str">
        <x:v>准备</x:v>
      </x:c>
      <x:c r="E361" s="18" t="str">
        <x:v>芒果块</x:v>
      </x:c>
      <x:c r="F361" s="18" t="str">
        <x:v>芒果×1</x:v>
      </x:c>
      <x:c r="G361" s="18" t="str">
        <x:v>芒果→切配→芒果块</x:v>
      </x:c>
      <x:c r="H361" s="18" t="str">
        <x:v>切配台</x:v>
      </x:c>
      <x:c r="I361" s="18" t="str">
        <x:v>备料盒</x:v>
      </x:c>
      <x:c r="J361" s="18" t="str">
        <x:v>供货：芒果</x:v>
      </x:c>
    </x:row>
    <x:row r="362" ht="64" customHeight="1">
      <x:c r="A362" s="18" t="str">
        <x:v>D30</x:v>
      </x:c>
      <x:c r="B362" s="18" t="str">
        <x:v>芒果绿茶</x:v>
      </x:c>
      <x:c r="C362" s="18" t="str">
        <x:v>P57</x:v>
      </x:c>
      <x:c r="D362" s="18" t="str">
        <x:v>准备</x:v>
      </x:c>
      <x:c r="E362" s="18" t="str">
        <x:v>芒果果泥</x:v>
      </x:c>
      <x:c r="F362" s="18" t="str">
        <x:v>芒果块×1</x:v>
      </x:c>
      <x:c r="G362" s="18" t="str">
        <x:v>芒果块→短搅打成泥</x:v>
      </x:c>
      <x:c r="H362" s="18" t="str">
        <x:v>搅打机</x:v>
      </x:c>
      <x:c r="I362" s="18" t="str">
        <x:v>配料罐</x:v>
      </x:c>
      <x:c r="J362" s="18" t="str">
        <x:v>P14 芒果块</x:v>
      </x:c>
    </x:row>
    <x:row r="363" ht="64" customHeight="1">
      <x:c r="A363" s="18" t="str">
        <x:v>D30</x:v>
      </x:c>
      <x:c r="B363" s="18" t="str">
        <x:v>芒果绿茶</x:v>
      </x:c>
      <x:c r="C363" s="18" t="str">
        <x:v>P41</x:v>
      </x:c>
      <x:c r="D363" s="18" t="str">
        <x:v>准备</x:v>
      </x:c>
      <x:c r="E363" s="18" t="str">
        <x:v>热水</x:v>
      </x:c>
      <x:c r="F363" s="18" t="str">
        <x:v>饮用水×1</x:v>
      </x:c>
      <x:c r="G363" s="18" t="str">
        <x:v>取水台热水档→取得热水</x:v>
      </x:c>
      <x:c r="H363" s="18" t="str">
        <x:v>取水台</x:v>
      </x:c>
      <x:c r="I363" s="18" t="str">
        <x:v>热水杯/壶</x:v>
      </x:c>
      <x:c r="J363" s="18" t="str">
        <x:v>供货：饮用水</x:v>
      </x:c>
    </x:row>
    <x:row r="364" ht="64" customHeight="1">
      <x:c r="A364" s="18" t="str">
        <x:v>D30</x:v>
      </x:c>
      <x:c r="B364" s="18" t="str">
        <x:v>芒果绿茶</x:v>
      </x:c>
      <x:c r="C364" s="18" t="str">
        <x:v>P47</x:v>
      </x:c>
      <x:c r="D364" s="18" t="str">
        <x:v>准备</x:v>
      </x:c>
      <x:c r="E364" s="18" t="str">
        <x:v>绿茶底</x:v>
      </x:c>
      <x:c r="F364" s="18" t="str">
        <x:v>绿茶叶×1 + 热水×1</x:v>
      </x:c>
      <x:c r="G364" s="18" t="str">
        <x:v>绿茶叶+热水→泡茶→绿茶底</x:v>
      </x:c>
      <x:c r="H364" s="18" t="str">
        <x:v>泡茶桶</x:v>
      </x:c>
      <x:c r="I364" s="18" t="str">
        <x:v>茶桶</x:v>
      </x:c>
      <x:c r="J364" s="18" t="str">
        <x:v>供货：绿茶叶；P41 热水</x:v>
      </x:c>
    </x:row>
    <x:row r="365" ht="64" customHeight="1">
      <x:c r="A365" s="18" t="str">
        <x:v>D30</x:v>
      </x:c>
      <x:c r="B365" s="18" t="str">
        <x:v>芒果绿茶</x:v>
      </x:c>
      <x:c r="C365" s="18" t="str">
        <x:v>FINAL</x:v>
      </x:c>
      <x:c r="D365" s="18" t="str">
        <x:v>成品</x:v>
      </x:c>
      <x:c r="E365" s="18" t="str">
        <x:v>芒果果茶</x:v>
      </x:c>
      <x:c r="F365" s="18" t="str">
        <x:v>芒果果泥×1 + 绿茶底×2 + 糖浆×1 + 冰块×1</x:v>
      </x:c>
      <x:c r="G365" s="18" t="str">
        <x:v>芒果果泥+绿茶+糖浆→混合→加冰</x:v>
      </x:c>
      <x:c r="H365" s="18" t="str">
        <x:v>调饮台</x:v>
      </x:c>
      <x:c r="I365" s="18" t="str">
        <x:v>透明冷饮杯</x:v>
      </x:c>
      <x:c r="J365" s="18" t="str">
        <x:v>P57 芒果果泥；P47 绿茶底；供货：糖浆；供货：冰块</x:v>
      </x:c>
    </x:row>
    <x:row r="366" ht="64" customHeight="1">
      <x:c r="A366" s="18" t="str">
        <x:v>D30</x:v>
      </x:c>
      <x:c r="B366" s="18" t="str">
        <x:v>芒果绿茶</x:v>
      </x:c>
      <x:c r="C366" s="18" t="str">
        <x:v>SERVE</x:v>
      </x:c>
      <x:c r="D366" s="18" t="str">
        <x:v>交付</x:v>
      </x:c>
      <x:c r="E366" s="18" t="str">
        <x:v>可交付订单</x:v>
      </x:c>
      <x:c r="F366" s="18" t="str">
        <x:v>已完成菜品</x:v>
      </x:c>
      <x:c r="G366" s="18" t="str">
        <x:v>完成饮品→交给另一位玩家核对并贴单→交付</x:v>
      </x:c>
      <x:c r="H366" s="18" t="str">
        <x:v>贴单台</x:v>
      </x:c>
      <x:c r="I366" s="18" t="str">
        <x:v>透明冷饮杯</x:v>
      </x:c>
      <x:c r="J366" s="18" t="str">
        <x:v>FINAL</x:v>
      </x:c>
    </x:row>
    <x:row r="367" ht="64" customHeight="1">
      <x:c r="A367" s="18" t="str">
        <x:v>D31</x:v>
      </x:c>
      <x:c r="B367" s="18" t="str">
        <x:v>芝士奶盖绿茶</x:v>
      </x:c>
      <x:c r="C367" s="18" t="str">
        <x:v>P41</x:v>
      </x:c>
      <x:c r="D367" s="18" t="str">
        <x:v>准备</x:v>
      </x:c>
      <x:c r="E367" s="18" t="str">
        <x:v>热水</x:v>
      </x:c>
      <x:c r="F367" s="18" t="str">
        <x:v>饮用水×1</x:v>
      </x:c>
      <x:c r="G367" s="18" t="str">
        <x:v>取水台热水档→取得热水</x:v>
      </x:c>
      <x:c r="H367" s="18" t="str">
        <x:v>取水台</x:v>
      </x:c>
      <x:c r="I367" s="18" t="str">
        <x:v>热水杯/壶</x:v>
      </x:c>
      <x:c r="J367" s="18" t="str">
        <x:v>供货：饮用水</x:v>
      </x:c>
    </x:row>
    <x:row r="368" ht="64" customHeight="1">
      <x:c r="A368" s="18" t="str">
        <x:v>D31</x:v>
      </x:c>
      <x:c r="B368" s="18" t="str">
        <x:v>芝士奶盖绿茶</x:v>
      </x:c>
      <x:c r="C368" s="18" t="str">
        <x:v>P47</x:v>
      </x:c>
      <x:c r="D368" s="18" t="str">
        <x:v>准备</x:v>
      </x:c>
      <x:c r="E368" s="18" t="str">
        <x:v>绿茶底</x:v>
      </x:c>
      <x:c r="F368" s="18" t="str">
        <x:v>绿茶叶×1 + 热水×1</x:v>
      </x:c>
      <x:c r="G368" s="18" t="str">
        <x:v>绿茶叶+热水→泡茶→绿茶底</x:v>
      </x:c>
      <x:c r="H368" s="18" t="str">
        <x:v>泡茶桶</x:v>
      </x:c>
      <x:c r="I368" s="18" t="str">
        <x:v>茶桶</x:v>
      </x:c>
      <x:c r="J368" s="18" t="str">
        <x:v>供货：绿茶叶；P41 热水</x:v>
      </x:c>
    </x:row>
    <x:row r="369" ht="64" customHeight="1">
      <x:c r="A369" s="18" t="str">
        <x:v>D31</x:v>
      </x:c>
      <x:c r="B369" s="18" t="str">
        <x:v>芝士奶盖绿茶</x:v>
      </x:c>
      <x:c r="C369" s="18" t="str">
        <x:v>P40</x:v>
      </x:c>
      <x:c r="D369" s="18" t="str">
        <x:v>准备</x:v>
      </x:c>
      <x:c r="E369" s="18" t="str">
        <x:v>芝士奶盖</x:v>
      </x:c>
      <x:c r="F369" s="18" t="str">
        <x:v>淡奶油×1 + 软芝士×1</x:v>
      </x:c>
      <x:c r="G369" s="18" t="str">
        <x:v>淡奶油+软芝士→搅拌成奶盖</x:v>
      </x:c>
      <x:c r="H369" s="18" t="str">
        <x:v>搅拌机</x:v>
      </x:c>
      <x:c r="I369" s="18" t="str">
        <x:v>配料罐</x:v>
      </x:c>
      <x:c r="J369" s="18" t="str">
        <x:v>供货：淡奶油；供货：软芝士</x:v>
      </x:c>
    </x:row>
    <x:row r="370" ht="64" customHeight="1">
      <x:c r="A370" s="18" t="str">
        <x:v>D31</x:v>
      </x:c>
      <x:c r="B370" s="18" t="str">
        <x:v>芝士奶盖绿茶</x:v>
      </x:c>
      <x:c r="C370" s="18" t="str">
        <x:v>FINAL</x:v>
      </x:c>
      <x:c r="D370" s="18" t="str">
        <x:v>成品</x:v>
      </x:c>
      <x:c r="E370" s="18" t="str">
        <x:v>白色奶盖层绿茶</x:v>
      </x:c>
      <x:c r="F370" s="18" t="str">
        <x:v>绿茶底×2 + 芝士奶盖×1 + 冰块×1</x:v>
      </x:c>
      <x:c r="G370" s="18" t="str">
        <x:v>绿茶入杯→加冰→最后加芝士奶盖</x:v>
      </x:c>
      <x:c r="H370" s="18" t="str">
        <x:v>调饮台</x:v>
      </x:c>
      <x:c r="I370" s="18" t="str">
        <x:v>透明冷饮杯</x:v>
      </x:c>
      <x:c r="J370" s="18" t="str">
        <x:v>P47 绿茶底；P40 芝士奶盖；供货：冰块</x:v>
      </x:c>
    </x:row>
    <x:row r="371" ht="64" customHeight="1">
      <x:c r="A371" s="18" t="str">
        <x:v>D31</x:v>
      </x:c>
      <x:c r="B371" s="18" t="str">
        <x:v>芝士奶盖绿茶</x:v>
      </x:c>
      <x:c r="C371" s="18" t="str">
        <x:v>SERVE</x:v>
      </x:c>
      <x:c r="D371" s="18" t="str">
        <x:v>交付</x:v>
      </x:c>
      <x:c r="E371" s="18" t="str">
        <x:v>可交付订单</x:v>
      </x:c>
      <x:c r="F371" s="18" t="str">
        <x:v>已完成菜品</x:v>
      </x:c>
      <x:c r="G371" s="18" t="str">
        <x:v>完成饮品→交给另一位玩家核对并贴单→交付</x:v>
      </x:c>
      <x:c r="H371" s="18" t="str">
        <x:v>贴单台</x:v>
      </x:c>
      <x:c r="I371" s="18" t="str">
        <x:v>透明冷饮杯</x:v>
      </x:c>
      <x:c r="J371" s="18" t="str">
        <x:v>FINAL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6f86586c5cc46a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36" hidden="0" customWidth="1"/>
    <x:col min="4" max="4" width="40" hidden="0" customWidth="1"/>
    <x:col min="5" max="5" width="24" hidden="0" customWidth="1"/>
    <x:col min="6" max="6" width="22" hidden="0" customWidth="1"/>
    <x:col min="7" max="7" width="38" hidden="0" customWidth="1"/>
    <x:col min="8" max="8" width="40" hidden="0" customWidth="1"/>
  </x:cols>
  <x:sheetData>
    <x:row r="1" ht="34" customHeight="1">
      <x:c r="A1" s="8" t="str">
        <x:v>共享准备与加工状态 · 60项</x:v>
      </x:c>
      <x:c r="B1" s="8"/>
      <x:c r="C1" s="8"/>
      <x:c r="D1" s="8"/>
      <x:c r="E1" s="8"/>
      <x:c r="F1" s="8"/>
      <x:c r="G1" s="8"/>
      <x:c r="H1" s="8"/>
    </x:row>
    <x:row r="2" ht="34" customHeight="1">
      <x:c r="A2" s="14" t="str">
        <x:v>这些是物料状态与可交接成果，不是60种额外操作小游戏。每批产出份数与保存规则未在此定值。</x:v>
      </x:c>
      <x:c r="B2" s="14"/>
      <x:c r="C2" s="14"/>
      <x:c r="D2" s="14"/>
      <x:c r="E2" s="14"/>
      <x:c r="F2" s="14"/>
      <x:c r="G2" s="14"/>
      <x:c r="H2" s="14"/>
    </x:row>
    <x:row r="3">
      <x:c r="A3" s="4"/>
      <x:c r="B3" s="4"/>
      <x:c r="C3" s="4"/>
      <x:c r="D3" s="4"/>
      <x:c r="E3" s="4"/>
      <x:c r="F3" s="4"/>
      <x:c r="G3" s="4"/>
      <x:c r="H3" s="4"/>
    </x:row>
    <x:row r="4" ht="30" customHeight="1">
      <x:c r="A4" s="23" t="str">
        <x:v>编号</x:v>
      </x:c>
      <x:c r="B4" s="23" t="str">
        <x:v>半成品</x:v>
      </x:c>
      <x:c r="C4" s="23" t="str">
        <x:v>直接投入</x:v>
      </x:c>
      <x:c r="D4" s="23" t="str">
        <x:v>加工过程</x:v>
      </x:c>
      <x:c r="E4" s="23" t="str">
        <x:v>本步工位</x:v>
      </x:c>
      <x:c r="F4" s="23" t="str">
        <x:v>承载形式</x:v>
      </x:c>
      <x:c r="G4" s="23" t="str">
        <x:v>批量/保留边界</x:v>
      </x:c>
      <x:c r="H4" s="23" t="str">
        <x:v>供应原料依赖</x:v>
      </x:c>
    </x:row>
    <x:row r="5" ht="72" customHeight="1">
      <x:c r="A5" s="18" t="str">
        <x:v>P01</x:v>
      </x:c>
      <x:c r="B5" s="18" t="str">
        <x:v>生菜片</x:v>
      </x:c>
      <x:c r="C5" s="18" t="str">
        <x:v>生菜×1</x:v>
      </x:c>
      <x:c r="D5" s="18" t="str">
        <x:v>生菜→切配→生菜片</x:v>
      </x:c>
      <x:c r="E5" s="18" t="str">
        <x:v>切配台</x:v>
      </x:c>
      <x:c r="F5" s="18" t="str">
        <x:v>备料盒</x:v>
      </x:c>
      <x:c r="G5" s="18" t="str">
        <x:v>可提前准备；每批份数后续统一调节</x:v>
      </x:c>
      <x:c r="H5" s="18" t="str">
        <x:v>生菜</x:v>
      </x:c>
    </x:row>
    <x:row r="6" ht="72" customHeight="1">
      <x:c r="A6" s="18" t="str">
        <x:v>P02</x:v>
      </x:c>
      <x:c r="B6" s="18" t="str">
        <x:v>番茄块</x:v>
      </x:c>
      <x:c r="C6" s="18" t="str">
        <x:v>番茄×1</x:v>
      </x:c>
      <x:c r="D6" s="18" t="str">
        <x:v>番茄→切配→番茄块</x:v>
      </x:c>
      <x:c r="E6" s="18" t="str">
        <x:v>切配台</x:v>
      </x:c>
      <x:c r="F6" s="18" t="str">
        <x:v>备料盒</x:v>
      </x:c>
      <x:c r="G6" s="18" t="str">
        <x:v>可提前准备；每批份数后续统一调节</x:v>
      </x:c>
      <x:c r="H6" s="18" t="str">
        <x:v>番茄</x:v>
      </x:c>
    </x:row>
    <x:row r="7" ht="72" customHeight="1">
      <x:c r="A7" s="18" t="str">
        <x:v>P03</x:v>
      </x:c>
      <x:c r="B7" s="18" t="str">
        <x:v>黄瓜片</x:v>
      </x:c>
      <x:c r="C7" s="18" t="str">
        <x:v>黄瓜×1</x:v>
      </x:c>
      <x:c r="D7" s="18" t="str">
        <x:v>黄瓜→切配→黄瓜片</x:v>
      </x:c>
      <x:c r="E7" s="18" t="str">
        <x:v>切配台</x:v>
      </x:c>
      <x:c r="F7" s="18" t="str">
        <x:v>备料盒</x:v>
      </x:c>
      <x:c r="G7" s="18" t="str">
        <x:v>可提前准备；每批份数后续统一调节</x:v>
      </x:c>
      <x:c r="H7" s="18" t="str">
        <x:v>黄瓜</x:v>
      </x:c>
    </x:row>
    <x:row r="8" ht="72" customHeight="1">
      <x:c r="A8" s="18" t="str">
        <x:v>P04</x:v>
      </x:c>
      <x:c r="B8" s="18" t="str">
        <x:v>洋葱块</x:v>
      </x:c>
      <x:c r="C8" s="18" t="str">
        <x:v>洋葱×1</x:v>
      </x:c>
      <x:c r="D8" s="18" t="str">
        <x:v>洋葱→切配→洋葱块</x:v>
      </x:c>
      <x:c r="E8" s="18" t="str">
        <x:v>切配台</x:v>
      </x:c>
      <x:c r="F8" s="18" t="str">
        <x:v>备料盒</x:v>
      </x:c>
      <x:c r="G8" s="18" t="str">
        <x:v>可提前准备；每批份数后续统一调节</x:v>
      </x:c>
      <x:c r="H8" s="18" t="str">
        <x:v>洋葱</x:v>
      </x:c>
    </x:row>
    <x:row r="9" ht="72" customHeight="1">
      <x:c r="A9" s="18" t="str">
        <x:v>P05</x:v>
      </x:c>
      <x:c r="B9" s="18" t="str">
        <x:v>蘑菇片</x:v>
      </x:c>
      <x:c r="C9" s="18" t="str">
        <x:v>蘑菇×1</x:v>
      </x:c>
      <x:c r="D9" s="18" t="str">
        <x:v>蘑菇→切配→蘑菇片</x:v>
      </x:c>
      <x:c r="E9" s="18" t="str">
        <x:v>切配台</x:v>
      </x:c>
      <x:c r="F9" s="18" t="str">
        <x:v>备料盒</x:v>
      </x:c>
      <x:c r="G9" s="18" t="str">
        <x:v>可提前准备；每批份数后续统一调节</x:v>
      </x:c>
      <x:c r="H9" s="18" t="str">
        <x:v>蘑菇</x:v>
      </x:c>
    </x:row>
    <x:row r="10" ht="72" customHeight="1">
      <x:c r="A10" s="18" t="str">
        <x:v>P06</x:v>
      </x:c>
      <x:c r="B10" s="18" t="str">
        <x:v>胡萝卜块</x:v>
      </x:c>
      <x:c r="C10" s="18" t="str">
        <x:v>胡萝卜×1</x:v>
      </x:c>
      <x:c r="D10" s="18" t="str">
        <x:v>胡萝卜→切配→胡萝卜块</x:v>
      </x:c>
      <x:c r="E10" s="18" t="str">
        <x:v>切配台</x:v>
      </x:c>
      <x:c r="F10" s="18" t="str">
        <x:v>备料盒</x:v>
      </x:c>
      <x:c r="G10" s="18" t="str">
        <x:v>可提前准备；每批份数后续统一调节</x:v>
      </x:c>
      <x:c r="H10" s="18" t="str">
        <x:v>胡萝卜</x:v>
      </x:c>
    </x:row>
    <x:row r="11" ht="72" customHeight="1">
      <x:c r="A11" s="18" t="str">
        <x:v>P07</x:v>
      </x:c>
      <x:c r="B11" s="18" t="str">
        <x:v>土豆块</x:v>
      </x:c>
      <x:c r="C11" s="18" t="str">
        <x:v>土豆×1</x:v>
      </x:c>
      <x:c r="D11" s="18" t="str">
        <x:v>土豆→切配→土豆块</x:v>
      </x:c>
      <x:c r="E11" s="18" t="str">
        <x:v>切配台</x:v>
      </x:c>
      <x:c r="F11" s="18" t="str">
        <x:v>备料盒</x:v>
      </x:c>
      <x:c r="G11" s="18" t="str">
        <x:v>可提前准备；每批份数后续统一调节</x:v>
      </x:c>
      <x:c r="H11" s="18" t="str">
        <x:v>土豆</x:v>
      </x:c>
    </x:row>
    <x:row r="12" ht="72" customHeight="1">
      <x:c r="A12" s="18" t="str">
        <x:v>P08</x:v>
      </x:c>
      <x:c r="B12" s="18" t="str">
        <x:v>西兰花块</x:v>
      </x:c>
      <x:c r="C12" s="18" t="str">
        <x:v>西兰花×1</x:v>
      </x:c>
      <x:c r="D12" s="18" t="str">
        <x:v>西兰花→切配→西兰花块</x:v>
      </x:c>
      <x:c r="E12" s="18" t="str">
        <x:v>切配台</x:v>
      </x:c>
      <x:c r="F12" s="18" t="str">
        <x:v>备料盒</x:v>
      </x:c>
      <x:c r="G12" s="18" t="str">
        <x:v>可提前准备；每批份数后续统一调节</x:v>
      </x:c>
      <x:c r="H12" s="18" t="str">
        <x:v>西兰花</x:v>
      </x:c>
    </x:row>
    <x:row r="13" ht="72" customHeight="1">
      <x:c r="A13" s="18" t="str">
        <x:v>P09</x:v>
      </x:c>
      <x:c r="B13" s="18" t="str">
        <x:v>橙块</x:v>
      </x:c>
      <x:c r="C13" s="18" t="str">
        <x:v>橙子×1</x:v>
      </x:c>
      <x:c r="D13" s="18" t="str">
        <x:v>橙子→切配→橙块</x:v>
      </x:c>
      <x:c r="E13" s="18" t="str">
        <x:v>切配台</x:v>
      </x:c>
      <x:c r="F13" s="18" t="str">
        <x:v>备料盒</x:v>
      </x:c>
      <x:c r="G13" s="18" t="str">
        <x:v>可提前准备；每批份数后续统一调节</x:v>
      </x:c>
      <x:c r="H13" s="18" t="str">
        <x:v>橙子</x:v>
      </x:c>
    </x:row>
    <x:row r="14" ht="72" customHeight="1">
      <x:c r="A14" s="18" t="str">
        <x:v>P10</x:v>
      </x:c>
      <x:c r="B14" s="18" t="str">
        <x:v>柠檬片</x:v>
      </x:c>
      <x:c r="C14" s="18" t="str">
        <x:v>柠檬×1</x:v>
      </x:c>
      <x:c r="D14" s="18" t="str">
        <x:v>柠檬→切配→柠檬片</x:v>
      </x:c>
      <x:c r="E14" s="18" t="str">
        <x:v>切配台</x:v>
      </x:c>
      <x:c r="F14" s="18" t="str">
        <x:v>备料盒</x:v>
      </x:c>
      <x:c r="G14" s="18" t="str">
        <x:v>可提前准备；每批份数后续统一调节</x:v>
      </x:c>
      <x:c r="H14" s="18" t="str">
        <x:v>柠檬</x:v>
      </x:c>
    </x:row>
    <x:row r="15" ht="72" customHeight="1">
      <x:c r="A15" s="18" t="str">
        <x:v>P11</x:v>
      </x:c>
      <x:c r="B15" s="18" t="str">
        <x:v>苹果块</x:v>
      </x:c>
      <x:c r="C15" s="18" t="str">
        <x:v>苹果×1</x:v>
      </x:c>
      <x:c r="D15" s="18" t="str">
        <x:v>苹果→切配→苹果块</x:v>
      </x:c>
      <x:c r="E15" s="18" t="str">
        <x:v>切配台</x:v>
      </x:c>
      <x:c r="F15" s="18" t="str">
        <x:v>备料盒</x:v>
      </x:c>
      <x:c r="G15" s="18" t="str">
        <x:v>可提前准备；每批份数后续统一调节</x:v>
      </x:c>
      <x:c r="H15" s="18" t="str">
        <x:v>苹果</x:v>
      </x:c>
    </x:row>
    <x:row r="16" ht="72" customHeight="1">
      <x:c r="A16" s="18" t="str">
        <x:v>P12</x:v>
      </x:c>
      <x:c r="B16" s="18" t="str">
        <x:v>香蕉块</x:v>
      </x:c>
      <x:c r="C16" s="18" t="str">
        <x:v>香蕉×1</x:v>
      </x:c>
      <x:c r="D16" s="18" t="str">
        <x:v>香蕉→切配→香蕉块</x:v>
      </x:c>
      <x:c r="E16" s="18" t="str">
        <x:v>切配台</x:v>
      </x:c>
      <x:c r="F16" s="18" t="str">
        <x:v>备料盒</x:v>
      </x:c>
      <x:c r="G16" s="18" t="str">
        <x:v>可提前准备；每批份数后续统一调节</x:v>
      </x:c>
      <x:c r="H16" s="18" t="str">
        <x:v>香蕉</x:v>
      </x:c>
    </x:row>
    <x:row r="17" ht="72" customHeight="1">
      <x:c r="A17" s="18" t="str">
        <x:v>P13</x:v>
      </x:c>
      <x:c r="B17" s="18" t="str">
        <x:v>草莓块</x:v>
      </x:c>
      <x:c r="C17" s="18" t="str">
        <x:v>草莓×1</x:v>
      </x:c>
      <x:c r="D17" s="18" t="str">
        <x:v>草莓→切配→草莓块</x:v>
      </x:c>
      <x:c r="E17" s="18" t="str">
        <x:v>切配台</x:v>
      </x:c>
      <x:c r="F17" s="18" t="str">
        <x:v>备料盒</x:v>
      </x:c>
      <x:c r="G17" s="18" t="str">
        <x:v>可提前准备；每批份数后续统一调节</x:v>
      </x:c>
      <x:c r="H17" s="18" t="str">
        <x:v>草莓</x:v>
      </x:c>
    </x:row>
    <x:row r="18" ht="72" customHeight="1">
      <x:c r="A18" s="18" t="str">
        <x:v>P14</x:v>
      </x:c>
      <x:c r="B18" s="18" t="str">
        <x:v>芒果块</x:v>
      </x:c>
      <x:c r="C18" s="18" t="str">
        <x:v>芒果×1</x:v>
      </x:c>
      <x:c r="D18" s="18" t="str">
        <x:v>芒果→切配→芒果块</x:v>
      </x:c>
      <x:c r="E18" s="18" t="str">
        <x:v>切配台</x:v>
      </x:c>
      <x:c r="F18" s="18" t="str">
        <x:v>备料盒</x:v>
      </x:c>
      <x:c r="G18" s="18" t="str">
        <x:v>可提前准备；每批份数后续统一调节</x:v>
      </x:c>
      <x:c r="H18" s="18" t="str">
        <x:v>芒果</x:v>
      </x:c>
    </x:row>
    <x:row r="19" ht="72" customHeight="1">
      <x:c r="A19" s="18" t="str">
        <x:v>P15</x:v>
      </x:c>
      <x:c r="B19" s="18" t="str">
        <x:v>牛肉切配件</x:v>
      </x:c>
      <x:c r="C19" s="18" t="str">
        <x:v>牛肉块×1</x:v>
      </x:c>
      <x:c r="D19" s="18" t="str">
        <x:v>牛肉块→切配→牛肉切配件</x:v>
      </x:c>
      <x:c r="E19" s="18" t="str">
        <x:v>切配台</x:v>
      </x:c>
      <x:c r="F19" s="18" t="str">
        <x:v>备料盒</x:v>
      </x:c>
      <x:c r="G19" s="18" t="str">
        <x:v>可提前准备；每批份数后续统一调节</x:v>
      </x:c>
      <x:c r="H19" s="18" t="str">
        <x:v>牛肉块</x:v>
      </x:c>
    </x:row>
    <x:row r="20" ht="72" customHeight="1">
      <x:c r="A20" s="18" t="str">
        <x:v>P16</x:v>
      </x:c>
      <x:c r="B20" s="18" t="str">
        <x:v>鸡肉切配件</x:v>
      </x:c>
      <x:c r="C20" s="18" t="str">
        <x:v>鸡肉块×1</x:v>
      </x:c>
      <x:c r="D20" s="18" t="str">
        <x:v>鸡肉块→切配→鸡肉切配件</x:v>
      </x:c>
      <x:c r="E20" s="18" t="str">
        <x:v>切配台</x:v>
      </x:c>
      <x:c r="F20" s="18" t="str">
        <x:v>备料盒</x:v>
      </x:c>
      <x:c r="G20" s="18" t="str">
        <x:v>可提前准备；每批份数后续统一调节</x:v>
      </x:c>
      <x:c r="H20" s="18" t="str">
        <x:v>鸡肉块</x:v>
      </x:c>
    </x:row>
    <x:row r="21" ht="72" customHeight="1">
      <x:c r="A21" s="18" t="str">
        <x:v>P17</x:v>
      </x:c>
      <x:c r="B21" s="18" t="str">
        <x:v>三文鱼片</x:v>
      </x:c>
      <x:c r="C21" s="18" t="str">
        <x:v>三文鱼肉×1</x:v>
      </x:c>
      <x:c r="D21" s="18" t="str">
        <x:v>三文鱼肉→切配→三文鱼片</x:v>
      </x:c>
      <x:c r="E21" s="18" t="str">
        <x:v>切配台</x:v>
      </x:c>
      <x:c r="F21" s="18" t="str">
        <x:v>备料盒</x:v>
      </x:c>
      <x:c r="G21" s="18" t="str">
        <x:v>可提前准备；每批份数后续统一调节</x:v>
      </x:c>
      <x:c r="H21" s="18" t="str">
        <x:v>三文鱼肉</x:v>
      </x:c>
    </x:row>
    <x:row r="22" ht="72" customHeight="1">
      <x:c r="A22" s="18" t="str">
        <x:v>P18</x:v>
      </x:c>
      <x:c r="B22" s="18" t="str">
        <x:v>白鱼切配件</x:v>
      </x:c>
      <x:c r="C22" s="18" t="str">
        <x:v>白身鱼肉×1</x:v>
      </x:c>
      <x:c r="D22" s="18" t="str">
        <x:v>白身鱼肉→切配→白鱼切配件</x:v>
      </x:c>
      <x:c r="E22" s="18" t="str">
        <x:v>切配台</x:v>
      </x:c>
      <x:c r="F22" s="18" t="str">
        <x:v>备料盒</x:v>
      </x:c>
      <x:c r="G22" s="18" t="str">
        <x:v>可提前准备；每批份数后续统一调节</x:v>
      </x:c>
      <x:c r="H22" s="18" t="str">
        <x:v>白身鱼肉</x:v>
      </x:c>
    </x:row>
    <x:row r="23" ht="72" customHeight="1">
      <x:c r="A23" s="18" t="str">
        <x:v>P19</x:v>
      </x:c>
      <x:c r="B23" s="18" t="str">
        <x:v>米饭</x:v>
      </x:c>
      <x:c r="C23" s="18" t="str">
        <x:v>米×1</x:v>
      </x:c>
      <x:c r="D23" s="18" t="str">
        <x:v>米入锅→煮熟→可按份取用</x:v>
      </x:c>
      <x:c r="E23" s="18" t="str">
        <x:v>煮锅</x:v>
      </x:c>
      <x:c r="F23" s="18" t="str">
        <x:v>煮锅/饭桶</x:v>
      </x:c>
      <x:c r="G23" s="18" t="str">
        <x:v>可提前准备；每批份数后续统一调节</x:v>
      </x:c>
      <x:c r="H23" s="18" t="str">
        <x:v>米</x:v>
      </x:c>
    </x:row>
    <x:row r="24" ht="72" customHeight="1">
      <x:c r="A24" s="18" t="str">
        <x:v>P20</x:v>
      </x:c>
      <x:c r="B24" s="18" t="str">
        <x:v>熟意面</x:v>
      </x:c>
      <x:c r="C24" s="18" t="str">
        <x:v>干意面×1</x:v>
      </x:c>
      <x:c r="D24" s="18" t="str">
        <x:v>干意面入锅→煮熟→按份取用</x:v>
      </x:c>
      <x:c r="E24" s="18" t="str">
        <x:v>煮锅</x:v>
      </x:c>
      <x:c r="F24" s="18" t="str">
        <x:v>煮锅/备料盆</x:v>
      </x:c>
      <x:c r="G24" s="18" t="str">
        <x:v>可提前准备；每批份数后续统一调节</x:v>
      </x:c>
      <x:c r="H24" s="18" t="str">
        <x:v>干意面</x:v>
      </x:c>
    </x:row>
    <x:row r="25" ht="72" customHeight="1">
      <x:c r="A25" s="18" t="str">
        <x:v>P21</x:v>
      </x:c>
      <x:c r="B25" s="18" t="str">
        <x:v>熟牛肉饼</x:v>
      </x:c>
      <x:c r="C25" s="18" t="str">
        <x:v>生牛肉饼×1</x:v>
      </x:c>
      <x:c r="D25" s="18" t="str">
        <x:v>生牛肉饼→煎熟</x:v>
      </x:c>
      <x:c r="E25" s="18" t="str">
        <x:v>煎台</x:v>
      </x:c>
      <x:c r="F25" s="18" t="str">
        <x:v>备料盘</x:v>
      </x:c>
      <x:c r="G25" s="18" t="str">
        <x:v>可提前准备；每批份数后续统一调节</x:v>
      </x:c>
      <x:c r="H25" s="18" t="str">
        <x:v>生牛肉饼</x:v>
      </x:c>
    </x:row>
    <x:row r="26" ht="72" customHeight="1">
      <x:c r="A26" s="18" t="str">
        <x:v>P22</x:v>
      </x:c>
      <x:c r="B26" s="18" t="str">
        <x:v>熟鸡肉</x:v>
      </x:c>
      <x:c r="C26" s="18" t="str">
        <x:v>鸡肉切配件×1</x:v>
      </x:c>
      <x:c r="D26" s="18" t="str">
        <x:v>鸡肉切配件→煎熟</x:v>
      </x:c>
      <x:c r="E26" s="18" t="str">
        <x:v>煎台</x:v>
      </x:c>
      <x:c r="F26" s="18" t="str">
        <x:v>备料盘</x:v>
      </x:c>
      <x:c r="G26" s="18" t="str">
        <x:v>可提前准备；每批份数后续统一调节</x:v>
      </x:c>
      <x:c r="H26" s="18" t="str">
        <x:v>鸡肉块</x:v>
      </x:c>
    </x:row>
    <x:row r="27" ht="72" customHeight="1">
      <x:c r="A27" s="18" t="str">
        <x:v>P23</x:v>
      </x:c>
      <x:c r="B27" s="18" t="str">
        <x:v>熟牛肉</x:v>
      </x:c>
      <x:c r="C27" s="18" t="str">
        <x:v>牛肉切配件×1</x:v>
      </x:c>
      <x:c r="D27" s="18" t="str">
        <x:v>牛肉切配件→煎熟</x:v>
      </x:c>
      <x:c r="E27" s="18" t="str">
        <x:v>煎台</x:v>
      </x:c>
      <x:c r="F27" s="18" t="str">
        <x:v>备料盘</x:v>
      </x:c>
      <x:c r="G27" s="18" t="str">
        <x:v>可提前准备；每批份数后续统一调节</x:v>
      </x:c>
      <x:c r="H27" s="18" t="str">
        <x:v>牛肉块</x:v>
      </x:c>
    </x:row>
    <x:row r="28" ht="72" customHeight="1">
      <x:c r="A28" s="18" t="str">
        <x:v>P24</x:v>
      </x:c>
      <x:c r="B28" s="18" t="str">
        <x:v>熟蘑菇</x:v>
      </x:c>
      <x:c r="C28" s="18" t="str">
        <x:v>蘑菇片×1</x:v>
      </x:c>
      <x:c r="D28" s="18" t="str">
        <x:v>蘑菇片→煎熟</x:v>
      </x:c>
      <x:c r="E28" s="18" t="str">
        <x:v>煎台</x:v>
      </x:c>
      <x:c r="F28" s="18" t="str">
        <x:v>备料盘</x:v>
      </x:c>
      <x:c r="G28" s="18" t="str">
        <x:v>可提前准备；每批份数后续统一调节</x:v>
      </x:c>
      <x:c r="H28" s="18" t="str">
        <x:v>蘑菇</x:v>
      </x:c>
    </x:row>
    <x:row r="29" ht="72" customHeight="1">
      <x:c r="A29" s="18" t="str">
        <x:v>P25</x:v>
      </x:c>
      <x:c r="B29" s="18" t="str">
        <x:v>熟虾仁</x:v>
      </x:c>
      <x:c r="C29" s="18" t="str">
        <x:v>虾仁×1</x:v>
      </x:c>
      <x:c r="D29" s="18" t="str">
        <x:v>虾仁→煎熟</x:v>
      </x:c>
      <x:c r="E29" s="18" t="str">
        <x:v>煎台</x:v>
      </x:c>
      <x:c r="F29" s="18" t="str">
        <x:v>备料盘</x:v>
      </x:c>
      <x:c r="G29" s="18" t="str">
        <x:v>可提前准备；每批份数后续统一调节</x:v>
      </x:c>
      <x:c r="H29" s="18" t="str">
        <x:v>虾仁</x:v>
      </x:c>
    </x:row>
    <x:row r="30" ht="72" customHeight="1">
      <x:c r="A30" s="18" t="str">
        <x:v>P26</x:v>
      </x:c>
      <x:c r="B30" s="18" t="str">
        <x:v>熟白鱼</x:v>
      </x:c>
      <x:c r="C30" s="18" t="str">
        <x:v>白鱼切配件×1</x:v>
      </x:c>
      <x:c r="D30" s="18" t="str">
        <x:v>白鱼切配件→煎熟</x:v>
      </x:c>
      <x:c r="E30" s="18" t="str">
        <x:v>煎台</x:v>
      </x:c>
      <x:c r="F30" s="18" t="str">
        <x:v>备料盘</x:v>
      </x:c>
      <x:c r="G30" s="18" t="str">
        <x:v>可提前准备；每批份数后续统一调节</x:v>
      </x:c>
      <x:c r="H30" s="18" t="str">
        <x:v>白身鱼肉</x:v>
      </x:c>
    </x:row>
    <x:row r="31" ht="72" customHeight="1">
      <x:c r="A31" s="18" t="str">
        <x:v>P27</x:v>
      </x:c>
      <x:c r="B31" s="18" t="str">
        <x:v>熟香肠</x:v>
      </x:c>
      <x:c r="C31" s="18" t="str">
        <x:v>生香肠×1</x:v>
      </x:c>
      <x:c r="D31" s="18" t="str">
        <x:v>生香肠→煎熟</x:v>
      </x:c>
      <x:c r="E31" s="18" t="str">
        <x:v>煎台</x:v>
      </x:c>
      <x:c r="F31" s="18" t="str">
        <x:v>备料盘</x:v>
      </x:c>
      <x:c r="G31" s="18" t="str">
        <x:v>可提前准备；每批份数后续统一调节</x:v>
      </x:c>
      <x:c r="H31" s="18" t="str">
        <x:v>生香肠</x:v>
      </x:c>
    </x:row>
    <x:row r="32" ht="72" customHeight="1">
      <x:c r="A32" s="18" t="str">
        <x:v>P28</x:v>
      </x:c>
      <x:c r="B32" s="18" t="str">
        <x:v>煎蛋</x:v>
      </x:c>
      <x:c r="C32" s="18" t="str">
        <x:v>鸡蛋×1</x:v>
      </x:c>
      <x:c r="D32" s="18" t="str">
        <x:v>鸡蛋→煎熟；不独立模拟敲壳和翻面</x:v>
      </x:c>
      <x:c r="E32" s="18" t="str">
        <x:v>煎台</x:v>
      </x:c>
      <x:c r="F32" s="18" t="str">
        <x:v>备料盘</x:v>
      </x:c>
      <x:c r="G32" s="18" t="str">
        <x:v>可提前准备；每批份数后续统一调节</x:v>
      </x:c>
      <x:c r="H32" s="18" t="str">
        <x:v>鸡蛋</x:v>
      </x:c>
    </x:row>
    <x:row r="33" ht="72" customHeight="1">
      <x:c r="A33" s="18" t="str">
        <x:v>P29</x:v>
      </x:c>
      <x:c r="B33" s="18" t="str">
        <x:v>煎培根</x:v>
      </x:c>
      <x:c r="C33" s="18" t="str">
        <x:v>培根×1</x:v>
      </x:c>
      <x:c r="D33" s="18" t="str">
        <x:v>培根→煎熟</x:v>
      </x:c>
      <x:c r="E33" s="18" t="str">
        <x:v>煎台</x:v>
      </x:c>
      <x:c r="F33" s="18" t="str">
        <x:v>备料盘</x:v>
      </x:c>
      <x:c r="G33" s="18" t="str">
        <x:v>可提前准备；每批份数后续统一调节</x:v>
      </x:c>
      <x:c r="H33" s="18" t="str">
        <x:v>培根</x:v>
      </x:c>
    </x:row>
    <x:row r="34" ht="72" customHeight="1">
      <x:c r="A34" s="18" t="str">
        <x:v>P30</x:v>
      </x:c>
      <x:c r="B34" s="18" t="str">
        <x:v>烤吐司</x:v>
      </x:c>
      <x:c r="C34" s="18" t="str">
        <x:v>吐司片×1</x:v>
      </x:c>
      <x:c r="D34" s="18" t="str">
        <x:v>吐司片→烤制</x:v>
      </x:c>
      <x:c r="E34" s="18" t="str">
        <x:v>烤箱</x:v>
      </x:c>
      <x:c r="F34" s="18" t="str">
        <x:v>备料盘</x:v>
      </x:c>
      <x:c r="G34" s="18" t="str">
        <x:v>可提前准备；每批份数后续统一调节</x:v>
      </x:c>
      <x:c r="H34" s="18" t="str">
        <x:v>吐司片</x:v>
      </x:c>
    </x:row>
    <x:row r="35" ht="72" customHeight="1">
      <x:c r="A35" s="18" t="str">
        <x:v>P31</x:v>
      </x:c>
      <x:c r="B35" s="18" t="str">
        <x:v>炸鸡排</x:v>
      </x:c>
      <x:c r="C35" s="18" t="str">
        <x:v>生鸡排×1 + 炸粉×1</x:v>
      </x:c>
      <x:c r="D35" s="18" t="str">
        <x:v>生鸡排加炸粉→一次裹粉→炸熟</x:v>
      </x:c>
      <x:c r="E35" s="18" t="str">
        <x:v>组装台、炸锅</x:v>
      </x:c>
      <x:c r="F35" s="18" t="str">
        <x:v>备料盘</x:v>
      </x:c>
      <x:c r="G35" s="18" t="str">
        <x:v>可提前准备；每批份数后续统一调节</x:v>
      </x:c>
      <x:c r="H35" s="18" t="str">
        <x:v>生鸡排、炸粉</x:v>
      </x:c>
    </x:row>
    <x:row r="36" ht="72" customHeight="1">
      <x:c r="A36" s="18" t="str">
        <x:v>P32</x:v>
      </x:c>
      <x:c r="B36" s="18" t="str">
        <x:v>炸鸡块</x:v>
      </x:c>
      <x:c r="C36" s="18" t="str">
        <x:v>鸡肉切配件×1 + 炸粉×1</x:v>
      </x:c>
      <x:c r="D36" s="18" t="str">
        <x:v>鸡肉切配件加炸粉→一次裹粉→炸熟</x:v>
      </x:c>
      <x:c r="E36" s="18" t="str">
        <x:v>组装台、炸锅</x:v>
      </x:c>
      <x:c r="F36" s="18" t="str">
        <x:v>备料盘</x:v>
      </x:c>
      <x:c r="G36" s="18" t="str">
        <x:v>可提前准备；每批份数后续统一调节</x:v>
      </x:c>
      <x:c r="H36" s="18" t="str">
        <x:v>鸡肉块、炸粉</x:v>
      </x:c>
    </x:row>
    <x:row r="37" ht="72" customHeight="1">
      <x:c r="A37" s="18" t="str">
        <x:v>P33</x:v>
      </x:c>
      <x:c r="B37" s="18" t="str">
        <x:v>炸鱼排</x:v>
      </x:c>
      <x:c r="C37" s="18" t="str">
        <x:v>白身鱼肉×1 + 炸粉×1</x:v>
      </x:c>
      <x:c r="D37" s="18" t="str">
        <x:v>白身鱼肉加炸粉→一次裹粉→炸熟</x:v>
      </x:c>
      <x:c r="E37" s="18" t="str">
        <x:v>组装台、炸锅</x:v>
      </x:c>
      <x:c r="F37" s="18" t="str">
        <x:v>备料盘</x:v>
      </x:c>
      <x:c r="G37" s="18" t="str">
        <x:v>可提前准备；每批份数后续统一调节</x:v>
      </x:c>
      <x:c r="H37" s="18" t="str">
        <x:v>白身鱼肉、炸粉</x:v>
      </x:c>
    </x:row>
    <x:row r="38" ht="72" customHeight="1">
      <x:c r="A38" s="18" t="str">
        <x:v>P34</x:v>
      </x:c>
      <x:c r="B38" s="18" t="str">
        <x:v>炸薯条</x:v>
      </x:c>
      <x:c r="C38" s="18" t="str">
        <x:v>生薯条×1</x:v>
      </x:c>
      <x:c r="D38" s="18" t="str">
        <x:v>供应的生薯条→炸熟</x:v>
      </x:c>
      <x:c r="E38" s="18" t="str">
        <x:v>炸锅</x:v>
      </x:c>
      <x:c r="F38" s="18" t="str">
        <x:v>备料盘</x:v>
      </x:c>
      <x:c r="G38" s="18" t="str">
        <x:v>可提前准备；每批份数后续统一调节</x:v>
      </x:c>
      <x:c r="H38" s="18" t="str">
        <x:v>生薯条</x:v>
      </x:c>
    </x:row>
    <x:row r="39" ht="72" customHeight="1">
      <x:c r="A39" s="18" t="str">
        <x:v>P35</x:v>
      </x:c>
      <x:c r="B39" s="18" t="str">
        <x:v>番茄热酱</x:v>
      </x:c>
      <x:c r="C39" s="18" t="str">
        <x:v>番茄块×1</x:v>
      </x:c>
      <x:c r="D39" s="18" t="str">
        <x:v>番茄块入锅→熬成热酱；与供应的番茄酱是不同物件</x:v>
      </x:c>
      <x:c r="E39" s="18" t="str">
        <x:v>煮锅</x:v>
      </x:c>
      <x:c r="F39" s="18" t="str">
        <x:v>煮锅/酱料盆</x:v>
      </x:c>
      <x:c r="G39" s="18" t="str">
        <x:v>可提前准备；每批份数后续统一调节</x:v>
      </x:c>
      <x:c r="H39" s="18" t="str">
        <x:v>番茄</x:v>
      </x:c>
    </x:row>
    <x:row r="40" ht="72" customHeight="1">
      <x:c r="A40" s="18" t="str">
        <x:v>P36</x:v>
      </x:c>
      <x:c r="B40" s="18" t="str">
        <x:v>牛肉番茄肉酱</x:v>
      </x:c>
      <x:c r="C40" s="18" t="str">
        <x:v>牛肉末×1 + 番茄块×1</x:v>
      </x:c>
      <x:c r="D40" s="18" t="str">
        <x:v>牛肉末煎熟→加入番茄块→熬成肉酱</x:v>
      </x:c>
      <x:c r="E40" s="18" t="str">
        <x:v>煎台</x:v>
      </x:c>
      <x:c r="F40" s="18" t="str">
        <x:v>平底锅/酱料盆</x:v>
      </x:c>
      <x:c r="G40" s="18" t="str">
        <x:v>可提前准备；每批份数后续统一调节</x:v>
      </x:c>
      <x:c r="H40" s="18" t="str">
        <x:v>番茄、牛肉末</x:v>
      </x:c>
    </x:row>
    <x:row r="41" ht="72" customHeight="1">
      <x:c r="A41" s="18" t="str">
        <x:v>P37</x:v>
      </x:c>
      <x:c r="B41" s="18" t="str">
        <x:v>奶油蘑菇酱</x:v>
      </x:c>
      <x:c r="C41" s="18" t="str">
        <x:v>蘑菇片×1 + 淡奶油×1</x:v>
      </x:c>
      <x:c r="D41" s="18" t="str">
        <x:v>蘑菇片煎制→加淡奶油→熬成酱</x:v>
      </x:c>
      <x:c r="E41" s="18" t="str">
        <x:v>煎台</x:v>
      </x:c>
      <x:c r="F41" s="18" t="str">
        <x:v>平底锅/酱料盆</x:v>
      </x:c>
      <x:c r="G41" s="18" t="str">
        <x:v>可提前准备；每批份数后续统一调节</x:v>
      </x:c>
      <x:c r="H41" s="18" t="str">
        <x:v>蘑菇、淡奶油</x:v>
      </x:c>
    </x:row>
    <x:row r="42" ht="72" customHeight="1">
      <x:c r="A42" s="18" t="str">
        <x:v>P38</x:v>
      </x:c>
      <x:c r="B42" s="18" t="str">
        <x:v>甜面糊</x:v>
      </x:c>
      <x:c r="C42" s="18" t="str">
        <x:v>甜点预拌粉×1 + 鸡蛋×1 + 牛奶×1</x:v>
      </x:c>
      <x:c r="D42" s="18" t="str">
        <x:v>预拌粉+鸡蛋+牛奶→搅拌；松饼与蛋糕共用该游戏抽象基底</x:v>
      </x:c>
      <x:c r="E42" s="18" t="str">
        <x:v>搅拌机</x:v>
      </x:c>
      <x:c r="F42" s="18" t="str">
        <x:v>搅拌盆</x:v>
      </x:c>
      <x:c r="G42" s="18" t="str">
        <x:v>可提前准备；每批份数后续统一调节</x:v>
      </x:c>
      <x:c r="H42" s="18" t="str">
        <x:v>鸡蛋、牛奶、甜点预拌粉</x:v>
      </x:c>
    </x:row>
    <x:row r="43" ht="72" customHeight="1">
      <x:c r="A43" s="18" t="str">
        <x:v>P39</x:v>
      </x:c>
      <x:c r="B43" s="18" t="str">
        <x:v>打发奶油</x:v>
      </x:c>
      <x:c r="C43" s="18" t="str">
        <x:v>淡奶油×1</x:v>
      </x:c>
      <x:c r="D43" s="18" t="str">
        <x:v>淡奶油→打发</x:v>
      </x:c>
      <x:c r="E43" s="18" t="str">
        <x:v>搅拌机</x:v>
      </x:c>
      <x:c r="F43" s="18" t="str">
        <x:v>配料罐</x:v>
      </x:c>
      <x:c r="G43" s="18" t="str">
        <x:v>可提前准备；每批份数后续统一调节</x:v>
      </x:c>
      <x:c r="H43" s="18" t="str">
        <x:v>淡奶油</x:v>
      </x:c>
    </x:row>
    <x:row r="44" ht="72" customHeight="1">
      <x:c r="A44" s="18" t="str">
        <x:v>P40</x:v>
      </x:c>
      <x:c r="B44" s="18" t="str">
        <x:v>芝士奶盖</x:v>
      </x:c>
      <x:c r="C44" s="18" t="str">
        <x:v>淡奶油×1 + 软芝士×1</x:v>
      </x:c>
      <x:c r="D44" s="18" t="str">
        <x:v>淡奶油+软芝士→搅拌成奶盖</x:v>
      </x:c>
      <x:c r="E44" s="18" t="str">
        <x:v>搅拌机</x:v>
      </x:c>
      <x:c r="F44" s="18" t="str">
        <x:v>配料罐</x:v>
      </x:c>
      <x:c r="G44" s="18" t="str">
        <x:v>可提前准备；每批份数后续统一调节</x:v>
      </x:c>
      <x:c r="H44" s="18" t="str">
        <x:v>淡奶油、软芝士</x:v>
      </x:c>
    </x:row>
    <x:row r="45" ht="72" customHeight="1">
      <x:c r="A45" s="18" t="str">
        <x:v>P41</x:v>
      </x:c>
      <x:c r="B45" s="18" t="str">
        <x:v>热水</x:v>
      </x:c>
      <x:c r="C45" s="18" t="str">
        <x:v>饮用水×1</x:v>
      </x:c>
      <x:c r="D45" s="18" t="str">
        <x:v>取水台热水档→取得热水</x:v>
      </x:c>
      <x:c r="E45" s="18" t="str">
        <x:v>取水台</x:v>
      </x:c>
      <x:c r="F45" s="18" t="str">
        <x:v>热水杯/壶</x:v>
      </x:c>
      <x:c r="G45" s="18" t="str">
        <x:v>即取即用；不独立做烧水小游戏</x:v>
      </x:c>
      <x:c r="H45" s="18" t="str">
        <x:v>饮用水</x:v>
      </x:c>
    </x:row>
    <x:row r="46" ht="72" customHeight="1">
      <x:c r="A46" s="18" t="str">
        <x:v>P42</x:v>
      </x:c>
      <x:c r="B46" s="18" t="str">
        <x:v>橙汁</x:v>
      </x:c>
      <x:c r="C46" s="18" t="str">
        <x:v>橙块×1</x:v>
      </x:c>
      <x:c r="D46" s="18" t="str">
        <x:v>橙块→榨汁→橙汁</x:v>
      </x:c>
      <x:c r="E46" s="18" t="str">
        <x:v>榨汁机</x:v>
      </x:c>
      <x:c r="F46" s="18" t="str">
        <x:v>果汁壶</x:v>
      </x:c>
      <x:c r="G46" s="18" t="str">
        <x:v>可提前准备；每批份数后续统一调节</x:v>
      </x:c>
      <x:c r="H46" s="18" t="str">
        <x:v>橙子</x:v>
      </x:c>
    </x:row>
    <x:row r="47" ht="72" customHeight="1">
      <x:c r="A47" s="18" t="str">
        <x:v>P43</x:v>
      </x:c>
      <x:c r="B47" s="18" t="str">
        <x:v>柠檬汁</x:v>
      </x:c>
      <x:c r="C47" s="18" t="str">
        <x:v>柠檬片×1</x:v>
      </x:c>
      <x:c r="D47" s="18" t="str">
        <x:v>柠檬片→榨汁→柠檬汁</x:v>
      </x:c>
      <x:c r="E47" s="18" t="str">
        <x:v>榨汁机</x:v>
      </x:c>
      <x:c r="F47" s="18" t="str">
        <x:v>果汁壶</x:v>
      </x:c>
      <x:c r="G47" s="18" t="str">
        <x:v>可提前准备；每批份数后续统一调节</x:v>
      </x:c>
      <x:c r="H47" s="18" t="str">
        <x:v>柠檬</x:v>
      </x:c>
    </x:row>
    <x:row r="48" ht="72" customHeight="1">
      <x:c r="A48" s="18" t="str">
        <x:v>P44</x:v>
      </x:c>
      <x:c r="B48" s="18" t="str">
        <x:v>胡萝卜汁</x:v>
      </x:c>
      <x:c r="C48" s="18" t="str">
        <x:v>胡萝卜块×1</x:v>
      </x:c>
      <x:c r="D48" s="18" t="str">
        <x:v>胡萝卜块→榨汁→胡萝卜汁</x:v>
      </x:c>
      <x:c r="E48" s="18" t="str">
        <x:v>榨汁机</x:v>
      </x:c>
      <x:c r="F48" s="18" t="str">
        <x:v>果汁壶</x:v>
      </x:c>
      <x:c r="G48" s="18" t="str">
        <x:v>可提前准备；每批份数后续统一调节</x:v>
      </x:c>
      <x:c r="H48" s="18" t="str">
        <x:v>胡萝卜</x:v>
      </x:c>
    </x:row>
    <x:row r="49" ht="72" customHeight="1">
      <x:c r="A49" s="18" t="str">
        <x:v>P45</x:v>
      </x:c>
      <x:c r="B49" s="18" t="str">
        <x:v>苹果汁</x:v>
      </x:c>
      <x:c r="C49" s="18" t="str">
        <x:v>苹果块×1</x:v>
      </x:c>
      <x:c r="D49" s="18" t="str">
        <x:v>苹果块→榨汁→苹果汁</x:v>
      </x:c>
      <x:c r="E49" s="18" t="str">
        <x:v>榨汁机</x:v>
      </x:c>
      <x:c r="F49" s="18" t="str">
        <x:v>果汁壶</x:v>
      </x:c>
      <x:c r="G49" s="18" t="str">
        <x:v>可提前准备；每批份数后续统一调节</x:v>
      </x:c>
      <x:c r="H49" s="18" t="str">
        <x:v>苹果</x:v>
      </x:c>
    </x:row>
    <x:row r="50" ht="72" customHeight="1">
      <x:c r="A50" s="18" t="str">
        <x:v>P46</x:v>
      </x:c>
      <x:c r="B50" s="18" t="str">
        <x:v>红茶底</x:v>
      </x:c>
      <x:c r="C50" s="18" t="str">
        <x:v>红茶叶×1 + 热水×1</x:v>
      </x:c>
      <x:c r="D50" s="18" t="str">
        <x:v>红茶叶+热水→泡茶→红茶底</x:v>
      </x:c>
      <x:c r="E50" s="18" t="str">
        <x:v>泡茶桶</x:v>
      </x:c>
      <x:c r="F50" s="18" t="str">
        <x:v>茶桶</x:v>
      </x:c>
      <x:c r="G50" s="18" t="str">
        <x:v>可提前准备；每批份数后续统一调节</x:v>
      </x:c>
      <x:c r="H50" s="18" t="str">
        <x:v>红茶叶、饮用水</x:v>
      </x:c>
    </x:row>
    <x:row r="51" ht="72" customHeight="1">
      <x:c r="A51" s="18" t="str">
        <x:v>P47</x:v>
      </x:c>
      <x:c r="B51" s="18" t="str">
        <x:v>绿茶底</x:v>
      </x:c>
      <x:c r="C51" s="18" t="str">
        <x:v>绿茶叶×1 + 热水×1</x:v>
      </x:c>
      <x:c r="D51" s="18" t="str">
        <x:v>绿茶叶+热水→泡茶→绿茶底</x:v>
      </x:c>
      <x:c r="E51" s="18" t="str">
        <x:v>泡茶桶</x:v>
      </x:c>
      <x:c r="F51" s="18" t="str">
        <x:v>茶桶</x:v>
      </x:c>
      <x:c r="G51" s="18" t="str">
        <x:v>可提前准备；每批份数后续统一调节</x:v>
      </x:c>
      <x:c r="H51" s="18" t="str">
        <x:v>绿茶叶、饮用水</x:v>
      </x:c>
    </x:row>
    <x:row r="52" ht="72" customHeight="1">
      <x:c r="A52" s="18" t="str">
        <x:v>P48</x:v>
      </x:c>
      <x:c r="B52" s="18" t="str">
        <x:v>乌龙茶底</x:v>
      </x:c>
      <x:c r="C52" s="18" t="str">
        <x:v>乌龙茶叶×1 + 热水×1</x:v>
      </x:c>
      <x:c r="D52" s="18" t="str">
        <x:v>乌龙茶叶+热水→泡茶→乌龙茶底</x:v>
      </x:c>
      <x:c r="E52" s="18" t="str">
        <x:v>泡茶桶</x:v>
      </x:c>
      <x:c r="F52" s="18" t="str">
        <x:v>茶桶</x:v>
      </x:c>
      <x:c r="G52" s="18" t="str">
        <x:v>可提前准备；每批份数后续统一调节</x:v>
      </x:c>
      <x:c r="H52" s="18" t="str">
        <x:v>乌龙茶叶、饮用水</x:v>
      </x:c>
    </x:row>
    <x:row r="53" ht="72" customHeight="1">
      <x:c r="A53" s="18" t="str">
        <x:v>P49</x:v>
      </x:c>
      <x:c r="B53" s="18" t="str">
        <x:v>咖啡粉</x:v>
      </x:c>
      <x:c r="C53" s="18" t="str">
        <x:v>咖啡豆×1</x:v>
      </x:c>
      <x:c r="D53" s="18" t="str">
        <x:v>咖啡豆→研磨</x:v>
      </x:c>
      <x:c r="E53" s="18" t="str">
        <x:v>磨豆机</x:v>
      </x:c>
      <x:c r="F53" s="18" t="str">
        <x:v>粉盒</x:v>
      </x:c>
      <x:c r="G53" s="18" t="str">
        <x:v>可提前准备；每批份数后续统一调节</x:v>
      </x:c>
      <x:c r="H53" s="18" t="str">
        <x:v>咖啡豆</x:v>
      </x:c>
    </x:row>
    <x:row r="54" ht="72" customHeight="1">
      <x:c r="A54" s="18" t="str">
        <x:v>P50</x:v>
      </x:c>
      <x:c r="B54" s="18" t="str">
        <x:v>浓缩咖啡液</x:v>
      </x:c>
      <x:c r="C54" s="18" t="str">
        <x:v>咖啡粉×1</x:v>
      </x:c>
      <x:c r="D54" s="18" t="str">
        <x:v>咖啡粉→萃取；用水计入设备背景</x:v>
      </x:c>
      <x:c r="E54" s="18" t="str">
        <x:v>咖啡机</x:v>
      </x:c>
      <x:c r="F54" s="18" t="str">
        <x:v>接液杯</x:v>
      </x:c>
      <x:c r="G54" s="18" t="str">
        <x:v>可短暂接力；不设独立衰减计时</x:v>
      </x:c>
      <x:c r="H54" s="18" t="str">
        <x:v>咖啡豆</x:v>
      </x:c>
    </x:row>
    <x:row r="55" ht="72" customHeight="1">
      <x:c r="A55" s="18" t="str">
        <x:v>P51</x:v>
      </x:c>
      <x:c r="B55" s="18" t="str">
        <x:v>热牛奶</x:v>
      </x:c>
      <x:c r="C55" s="18" t="str">
        <x:v>牛奶×1</x:v>
      </x:c>
      <x:c r="D55" s="18" t="str">
        <x:v>牛奶入奶缸→加热模式</x:v>
      </x:c>
      <x:c r="E55" s="18" t="str">
        <x:v>蒸汽机</x:v>
      </x:c>
      <x:c r="F55" s="18" t="str">
        <x:v>奶缸</x:v>
      </x:c>
      <x:c r="G55" s="18" t="str">
        <x:v>可提前备一份；本版不模拟冷却</x:v>
      </x:c>
      <x:c r="H55" s="18" t="str">
        <x:v>牛奶</x:v>
      </x:c>
    </x:row>
    <x:row r="56" ht="72" customHeight="1">
      <x:c r="A56" s="18" t="str">
        <x:v>P52</x:v>
      </x:c>
      <x:c r="B56" s="18" t="str">
        <x:v>奶泡</x:v>
      </x:c>
      <x:c r="C56" s="18" t="str">
        <x:v>牛奶×1</x:v>
      </x:c>
      <x:c r="D56" s="18" t="str">
        <x:v>牛奶入奶缸→打泡模式</x:v>
      </x:c>
      <x:c r="E56" s="18" t="str">
        <x:v>蒸汽机</x:v>
      </x:c>
      <x:c r="F56" s="18" t="str">
        <x:v>奶缸</x:v>
      </x:c>
      <x:c r="G56" s="18" t="str">
        <x:v>可提前备一份；本版不模拟消泡</x:v>
      </x:c>
      <x:c r="H56" s="18" t="str">
        <x:v>牛奶</x:v>
      </x:c>
    </x:row>
    <x:row r="57" ht="72" customHeight="1">
      <x:c r="A57" s="18" t="str">
        <x:v>P53</x:v>
      </x:c>
      <x:c r="B57" s="18" t="str">
        <x:v>熟珍珠</x:v>
      </x:c>
      <x:c r="C57" s="18" t="str">
        <x:v>生珍珠×1</x:v>
      </x:c>
      <x:c r="D57" s="18" t="str">
        <x:v>生珍珠→煮熟→转入小料罐</x:v>
      </x:c>
      <x:c r="E57" s="18" t="str">
        <x:v>煮锅</x:v>
      </x:c>
      <x:c r="F57" s="18" t="str">
        <x:v>小料罐</x:v>
      </x:c>
      <x:c r="G57" s="18" t="str">
        <x:v>可提前准备；每批份数后续统一调节</x:v>
      </x:c>
      <x:c r="H57" s="18" t="str">
        <x:v>生珍珠</x:v>
      </x:c>
    </x:row>
    <x:row r="58" ht="72" customHeight="1">
      <x:c r="A58" s="18" t="str">
        <x:v>P54</x:v>
      </x:c>
      <x:c r="B58" s="18" t="str">
        <x:v>黑糖珍珠</x:v>
      </x:c>
      <x:c r="C58" s="18" t="str">
        <x:v>熟珍珠×1 + 黑糖浆×1</x:v>
      </x:c>
      <x:c r="D58" s="18" t="str">
        <x:v>熟珍珠+黑糖浆→混合</x:v>
      </x:c>
      <x:c r="E58" s="18" t="str">
        <x:v>调饮台</x:v>
      </x:c>
      <x:c r="F58" s="18" t="str">
        <x:v>小料罐</x:v>
      </x:c>
      <x:c r="G58" s="18" t="str">
        <x:v>可提前准备；每批份数后续统一调节</x:v>
      </x:c>
      <x:c r="H58" s="18" t="str">
        <x:v>黑糖浆、生珍珠</x:v>
      </x:c>
    </x:row>
    <x:row r="59" ht="72" customHeight="1">
      <x:c r="A59" s="18" t="str">
        <x:v>P55</x:v>
      </x:c>
      <x:c r="B59" s="18" t="str">
        <x:v>奶茶基底</x:v>
      </x:c>
      <x:c r="C59" s="18" t="str">
        <x:v>红茶底×1 + 牛奶×1 + 糖浆×1</x:v>
      </x:c>
      <x:c r="D59" s="18" t="str">
        <x:v>红茶底+牛奶+糖浆→定份混合</x:v>
      </x:c>
      <x:c r="E59" s="18" t="str">
        <x:v>调饮台</x:v>
      </x:c>
      <x:c r="F59" s="18" t="str">
        <x:v>调饮壶</x:v>
      </x:c>
      <x:c r="G59" s="18" t="str">
        <x:v>可提前准备；每批份数后续统一调节</x:v>
      </x:c>
      <x:c r="H59" s="18" t="str">
        <x:v>牛奶、糖浆、红茶叶、饮用水</x:v>
      </x:c>
    </x:row>
    <x:row r="60" ht="72" customHeight="1">
      <x:c r="A60" s="18" t="str">
        <x:v>P56</x:v>
      </x:c>
      <x:c r="B60" s="18" t="str">
        <x:v>草莓果泥</x:v>
      </x:c>
      <x:c r="C60" s="18" t="str">
        <x:v>草莓块×1</x:v>
      </x:c>
      <x:c r="D60" s="18" t="str">
        <x:v>草莓块→短搅打成泥</x:v>
      </x:c>
      <x:c r="E60" s="18" t="str">
        <x:v>搅打机</x:v>
      </x:c>
      <x:c r="F60" s="18" t="str">
        <x:v>配料罐</x:v>
      </x:c>
      <x:c r="G60" s="18" t="str">
        <x:v>可提前准备；每批份数后续统一调节</x:v>
      </x:c>
      <x:c r="H60" s="18" t="str">
        <x:v>草莓</x:v>
      </x:c>
    </x:row>
    <x:row r="61" ht="72" customHeight="1">
      <x:c r="A61" s="18" t="str">
        <x:v>P57</x:v>
      </x:c>
      <x:c r="B61" s="18" t="str">
        <x:v>芒果果泥</x:v>
      </x:c>
      <x:c r="C61" s="18" t="str">
        <x:v>芒果块×1</x:v>
      </x:c>
      <x:c r="D61" s="18" t="str">
        <x:v>芒果块→短搅打成泥</x:v>
      </x:c>
      <x:c r="E61" s="18" t="str">
        <x:v>搅打机</x:v>
      </x:c>
      <x:c r="F61" s="18" t="str">
        <x:v>配料罐</x:v>
      </x:c>
      <x:c r="G61" s="18" t="str">
        <x:v>可提前准备；每批份数后续统一调节</x:v>
      </x:c>
      <x:c r="H61" s="18" t="str">
        <x:v>芒果</x:v>
      </x:c>
    </x:row>
    <x:row r="62" ht="72" customHeight="1">
      <x:c r="A62" s="18" t="str">
        <x:v>P58</x:v>
      </x:c>
      <x:c r="B62" s="18" t="str">
        <x:v>可乐液</x:v>
      </x:c>
      <x:c r="C62" s="18" t="str">
        <x:v>可乐原液×1</x:v>
      </x:c>
      <x:c r="D62" s="18" t="str">
        <x:v>汽水机分装可乐</x:v>
      </x:c>
      <x:c r="E62" s="18" t="str">
        <x:v>汽水机</x:v>
      </x:c>
      <x:c r="F62" s="18" t="str">
        <x:v>饮品杯</x:v>
      </x:c>
      <x:c r="G62" s="18" t="str">
        <x:v>即取即用</x:v>
      </x:c>
      <x:c r="H62" s="18" t="str">
        <x:v>可乐原液</x:v>
      </x:c>
    </x:row>
    <x:row r="63" ht="72" customHeight="1">
      <x:c r="A63" s="18" t="str">
        <x:v>P59</x:v>
      </x:c>
      <x:c r="B63" s="18" t="str">
        <x:v>苏打水</x:v>
      </x:c>
      <x:c r="C63" s="18" t="str">
        <x:v>苏打水原液×1</x:v>
      </x:c>
      <x:c r="D63" s="18" t="str">
        <x:v>汽水机分装苏打水</x:v>
      </x:c>
      <x:c r="E63" s="18" t="str">
        <x:v>汽水机</x:v>
      </x:c>
      <x:c r="F63" s="18" t="str">
        <x:v>饮品杯</x:v>
      </x:c>
      <x:c r="G63" s="18" t="str">
        <x:v>即取即用</x:v>
      </x:c>
      <x:c r="H63" s="18" t="str">
        <x:v>苏打水原液</x:v>
      </x:c>
    </x:row>
    <x:row r="64" ht="72" customHeight="1">
      <x:c r="A64" s="18" t="str">
        <x:v>P60</x:v>
      </x:c>
      <x:c r="B64" s="18" t="str">
        <x:v>苹果派馅</x:v>
      </x:c>
      <x:c r="C64" s="18" t="str">
        <x:v>苹果块×1 + 蜂蜜×1</x:v>
      </x:c>
      <x:c r="D64" s="18" t="str">
        <x:v>苹果块+蜂蜜→煎台短时熬制成馅</x:v>
      </x:c>
      <x:c r="E64" s="18" t="str">
        <x:v>煎台</x:v>
      </x:c>
      <x:c r="F64" s="18" t="str">
        <x:v>备料盆</x:v>
      </x:c>
      <x:c r="G64" s="18" t="str">
        <x:v>可提前准备；每批份数后续统一调节</x:v>
      </x:c>
      <x:c r="H64" s="18" t="str">
        <x:v>苹果、蜂蜜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9c6d16dcfb549e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22" hidden="0" customWidth="1"/>
    <x:col min="4" max="4" width="32" hidden="0" customWidth="1"/>
    <x:col min="5" max="5" width="40" hidden="0" customWidth="1"/>
  </x:cols>
  <x:sheetData>
    <x:row r="1" ht="34" customHeight="1">
      <x:c r="A1" s="8" t="str">
        <x:v>供应边界 · 72项</x:v>
      </x:c>
      <x:c r="B1" s="8"/>
      <x:c r="C1" s="8"/>
      <x:c r="D1" s="8"/>
      <x:c r="E1" s="8"/>
    </x:row>
    <x:row r="2" ht="34" customHeight="1">
      <x:c r="A2" s="14" t="str">
        <x:v>以下原料可从供货或指定取用点获得；是否采购、到货速度、包装量和每关允许范围另定。不是无限供应承诺。</x:v>
      </x:c>
      <x:c r="B2" s="14"/>
      <x:c r="C2" s="14"/>
      <x:c r="D2" s="14"/>
      <x:c r="E2" s="14"/>
    </x:row>
    <x:row r="3">
      <x:c r="A3" s="4"/>
      <x:c r="B3" s="4"/>
      <x:c r="C3" s="4"/>
      <x:c r="D3" s="4"/>
      <x:c r="E3" s="4"/>
    </x:row>
    <x:row r="4" ht="30" customHeight="1">
      <x:c r="A4" s="23" t="str">
        <x:v>编号</x:v>
      </x:c>
      <x:c r="B4" s="23" t="str">
        <x:v>分类</x:v>
      </x:c>
      <x:c r="C4" s="23" t="str">
        <x:v>原料</x:v>
      </x:c>
      <x:c r="D4" s="23" t="str">
        <x:v>来源</x:v>
      </x:c>
      <x:c r="E4" s="23" t="str">
        <x:v>供应形态与抽象边界</x:v>
      </x:c>
    </x:row>
    <x:row r="5" ht="60" customHeight="1">
      <x:c r="A5" s="18" t="str">
        <x:v>R01</x:v>
      </x:c>
      <x:c r="B5" s="18" t="str">
        <x:v>蔬菜</x:v>
      </x:c>
      <x:c r="C5" s="18" t="str">
        <x:v>生菜</x:v>
      </x:c>
      <x:c r="D5" s="18" t="str">
        <x:v>供货直接取得</x:v>
      </x:c>
      <x:c r="E5" s="18" t="str">
        <x:v>供应端已清洁；需切配时由玩家完成。</x:v>
      </x:c>
    </x:row>
    <x:row r="6" ht="60" customHeight="1">
      <x:c r="A6" s="18" t="str">
        <x:v>R02</x:v>
      </x:c>
      <x:c r="B6" s="18" t="str">
        <x:v>蔬菜</x:v>
      </x:c>
      <x:c r="C6" s="18" t="str">
        <x:v>番茄</x:v>
      </x:c>
      <x:c r="D6" s="18" t="str">
        <x:v>供货直接取得</x:v>
      </x:c>
      <x:c r="E6" s="18" t="str">
        <x:v>供应端已清洁；需切配时由玩家完成。</x:v>
      </x:c>
    </x:row>
    <x:row r="7" ht="60" customHeight="1">
      <x:c r="A7" s="18" t="str">
        <x:v>R03</x:v>
      </x:c>
      <x:c r="B7" s="18" t="str">
        <x:v>蔬菜</x:v>
      </x:c>
      <x:c r="C7" s="18" t="str">
        <x:v>黄瓜</x:v>
      </x:c>
      <x:c r="D7" s="18" t="str">
        <x:v>供货直接取得</x:v>
      </x:c>
      <x:c r="E7" s="18" t="str">
        <x:v>供应端已清洁；需切配时由玩家完成。</x:v>
      </x:c>
    </x:row>
    <x:row r="8" ht="60" customHeight="1">
      <x:c r="A8" s="18" t="str">
        <x:v>R04</x:v>
      </x:c>
      <x:c r="B8" s="18" t="str">
        <x:v>蔬菜</x:v>
      </x:c>
      <x:c r="C8" s="18" t="str">
        <x:v>洋葱</x:v>
      </x:c>
      <x:c r="D8" s="18" t="str">
        <x:v>供货直接取得</x:v>
      </x:c>
      <x:c r="E8" s="18" t="str">
        <x:v>供应端已清洁；需切配时由玩家完成。</x:v>
      </x:c>
    </x:row>
    <x:row r="9" ht="60" customHeight="1">
      <x:c r="A9" s="18" t="str">
        <x:v>R05</x:v>
      </x:c>
      <x:c r="B9" s="18" t="str">
        <x:v>蔬菜</x:v>
      </x:c>
      <x:c r="C9" s="18" t="str">
        <x:v>蘑菇</x:v>
      </x:c>
      <x:c r="D9" s="18" t="str">
        <x:v>供货直接取得</x:v>
      </x:c>
      <x:c r="E9" s="18" t="str">
        <x:v>供应端已清洁；需切配时由玩家完成。</x:v>
      </x:c>
    </x:row>
    <x:row r="10" ht="60" customHeight="1">
      <x:c r="A10" s="18" t="str">
        <x:v>R06</x:v>
      </x:c>
      <x:c r="B10" s="18" t="str">
        <x:v>蔬菜</x:v>
      </x:c>
      <x:c r="C10" s="18" t="str">
        <x:v>胡萝卜</x:v>
      </x:c>
      <x:c r="D10" s="18" t="str">
        <x:v>供货直接取得</x:v>
      </x:c>
      <x:c r="E10" s="18" t="str">
        <x:v>供应端已清洁；需切配时由玩家完成。</x:v>
      </x:c>
    </x:row>
    <x:row r="11" ht="60" customHeight="1">
      <x:c r="A11" s="18" t="str">
        <x:v>R07</x:v>
      </x:c>
      <x:c r="B11" s="18" t="str">
        <x:v>蔬菜</x:v>
      </x:c>
      <x:c r="C11" s="18" t="str">
        <x:v>土豆</x:v>
      </x:c>
      <x:c r="D11" s="18" t="str">
        <x:v>供货直接取得</x:v>
      </x:c>
      <x:c r="E11" s="18" t="str">
        <x:v>供应端已清洁；需切配时由玩家完成。</x:v>
      </x:c>
    </x:row>
    <x:row r="12" ht="60" customHeight="1">
      <x:c r="A12" s="18" t="str">
        <x:v>R08</x:v>
      </x:c>
      <x:c r="B12" s="18" t="str">
        <x:v>蔬菜</x:v>
      </x:c>
      <x:c r="C12" s="18" t="str">
        <x:v>西兰花</x:v>
      </x:c>
      <x:c r="D12" s="18" t="str">
        <x:v>供货直接取得</x:v>
      </x:c>
      <x:c r="E12" s="18" t="str">
        <x:v>供应端已清洁；需切配时由玩家完成。</x:v>
      </x:c>
    </x:row>
    <x:row r="13" ht="60" customHeight="1">
      <x:c r="A13" s="18" t="str">
        <x:v>R09</x:v>
      </x:c>
      <x:c r="B13" s="18" t="str">
        <x:v>水果</x:v>
      </x:c>
      <x:c r="C13" s="18" t="str">
        <x:v>橙子</x:v>
      </x:c>
      <x:c r="D13" s="18" t="str">
        <x:v>供货直接取得</x:v>
      </x:c>
      <x:c r="E13" s="18" t="str">
        <x:v>供应端处理清洗、硬皮和果核；游戏内只保留统一切配。</x:v>
      </x:c>
    </x:row>
    <x:row r="14" ht="60" customHeight="1">
      <x:c r="A14" s="18" t="str">
        <x:v>R10</x:v>
      </x:c>
      <x:c r="B14" s="18" t="str">
        <x:v>水果</x:v>
      </x:c>
      <x:c r="C14" s="18" t="str">
        <x:v>柠檬</x:v>
      </x:c>
      <x:c r="D14" s="18" t="str">
        <x:v>供货直接取得</x:v>
      </x:c>
      <x:c r="E14" s="18" t="str">
        <x:v>供应端处理清洗、硬皮和果核；游戏内只保留统一切配。</x:v>
      </x:c>
    </x:row>
    <x:row r="15" ht="60" customHeight="1">
      <x:c r="A15" s="18" t="str">
        <x:v>R11</x:v>
      </x:c>
      <x:c r="B15" s="18" t="str">
        <x:v>水果</x:v>
      </x:c>
      <x:c r="C15" s="18" t="str">
        <x:v>苹果</x:v>
      </x:c>
      <x:c r="D15" s="18" t="str">
        <x:v>供货直接取得</x:v>
      </x:c>
      <x:c r="E15" s="18" t="str">
        <x:v>供应端处理清洗、硬皮和果核；游戏内只保留统一切配。</x:v>
      </x:c>
    </x:row>
    <x:row r="16" ht="60" customHeight="1">
      <x:c r="A16" s="18" t="str">
        <x:v>R12</x:v>
      </x:c>
      <x:c r="B16" s="18" t="str">
        <x:v>水果</x:v>
      </x:c>
      <x:c r="C16" s="18" t="str">
        <x:v>香蕉</x:v>
      </x:c>
      <x:c r="D16" s="18" t="str">
        <x:v>供货直接取得</x:v>
      </x:c>
      <x:c r="E16" s="18" t="str">
        <x:v>供应端处理清洗、硬皮和果核；游戏内只保留统一切配。</x:v>
      </x:c>
    </x:row>
    <x:row r="17" ht="60" customHeight="1">
      <x:c r="A17" s="18" t="str">
        <x:v>R13</x:v>
      </x:c>
      <x:c r="B17" s="18" t="str">
        <x:v>水果</x:v>
      </x:c>
      <x:c r="C17" s="18" t="str">
        <x:v>草莓</x:v>
      </x:c>
      <x:c r="D17" s="18" t="str">
        <x:v>供货直接取得</x:v>
      </x:c>
      <x:c r="E17" s="18" t="str">
        <x:v>供应端处理清洗、硬皮和果核；游戏内只保留统一切配。</x:v>
      </x:c>
    </x:row>
    <x:row r="18" ht="60" customHeight="1">
      <x:c r="A18" s="18" t="str">
        <x:v>R14</x:v>
      </x:c>
      <x:c r="B18" s="18" t="str">
        <x:v>水果</x:v>
      </x:c>
      <x:c r="C18" s="18" t="str">
        <x:v>芒果</x:v>
      </x:c>
      <x:c r="D18" s="18" t="str">
        <x:v>供货直接取得</x:v>
      </x:c>
      <x:c r="E18" s="18" t="str">
        <x:v>供应端处理清洗、硬皮和果核；游戏内只保留统一切配。</x:v>
      </x:c>
    </x:row>
    <x:row r="19" ht="60" customHeight="1">
      <x:c r="A19" s="18" t="str">
        <x:v>R15</x:v>
      </x:c>
      <x:c r="B19" s="18" t="str">
        <x:v>肉蛋海鲜</x:v>
      </x:c>
      <x:c r="C19" s="18" t="str">
        <x:v>生牛肉饼</x:v>
      </x:c>
      <x:c r="D19" s="18" t="str">
        <x:v>供货直接取得</x:v>
      </x:c>
      <x:c r="E19" s="18" t="str">
        <x:v>供应端分份、去骨去壳；生熟状态分开，不自行制作牛肉饼。</x:v>
      </x:c>
    </x:row>
    <x:row r="20" ht="60" customHeight="1">
      <x:c r="A20" s="18" t="str">
        <x:v>R16</x:v>
      </x:c>
      <x:c r="B20" s="18" t="str">
        <x:v>肉蛋海鲜</x:v>
      </x:c>
      <x:c r="C20" s="18" t="str">
        <x:v>牛肉块</x:v>
      </x:c>
      <x:c r="D20" s="18" t="str">
        <x:v>供货直接取得</x:v>
      </x:c>
      <x:c r="E20" s="18" t="str">
        <x:v>供应端分份、去骨去壳；生熟状态分开，不自行制作牛肉饼。</x:v>
      </x:c>
    </x:row>
    <x:row r="21" ht="60" customHeight="1">
      <x:c r="A21" s="18" t="str">
        <x:v>R17</x:v>
      </x:c>
      <x:c r="B21" s="18" t="str">
        <x:v>肉蛋海鲜</x:v>
      </x:c>
      <x:c r="C21" s="18" t="str">
        <x:v>牛肉末</x:v>
      </x:c>
      <x:c r="D21" s="18" t="str">
        <x:v>供货直接取得</x:v>
      </x:c>
      <x:c r="E21" s="18" t="str">
        <x:v>供应端分份、去骨去壳；生熟状态分开，不自行制作牛肉饼。</x:v>
      </x:c>
    </x:row>
    <x:row r="22" ht="60" customHeight="1">
      <x:c r="A22" s="18" t="str">
        <x:v>R18</x:v>
      </x:c>
      <x:c r="B22" s="18" t="str">
        <x:v>肉蛋海鲜</x:v>
      </x:c>
      <x:c r="C22" s="18" t="str">
        <x:v>鸡肉块</x:v>
      </x:c>
      <x:c r="D22" s="18" t="str">
        <x:v>供货直接取得</x:v>
      </x:c>
      <x:c r="E22" s="18" t="str">
        <x:v>供应端分份、去骨去壳；生熟状态分开，不自行制作牛肉饼。</x:v>
      </x:c>
    </x:row>
    <x:row r="23" ht="60" customHeight="1">
      <x:c r="A23" s="18" t="str">
        <x:v>R19</x:v>
      </x:c>
      <x:c r="B23" s="18" t="str">
        <x:v>肉蛋海鲜</x:v>
      </x:c>
      <x:c r="C23" s="18" t="str">
        <x:v>生鸡排</x:v>
      </x:c>
      <x:c r="D23" s="18" t="str">
        <x:v>供货直接取得</x:v>
      </x:c>
      <x:c r="E23" s="18" t="str">
        <x:v>供应端分份、去骨去壳；生熟状态分开，不自行制作牛肉饼。</x:v>
      </x:c>
    </x:row>
    <x:row r="24" ht="60" customHeight="1">
      <x:c r="A24" s="18" t="str">
        <x:v>R20</x:v>
      </x:c>
      <x:c r="B24" s="18" t="str">
        <x:v>肉蛋海鲜</x:v>
      </x:c>
      <x:c r="C24" s="18" t="str">
        <x:v>三文鱼肉</x:v>
      </x:c>
      <x:c r="D24" s="18" t="str">
        <x:v>供货直接取得</x:v>
      </x:c>
      <x:c r="E24" s="18" t="str">
        <x:v>供应端分份、去骨去壳；生熟状态分开，不自行制作牛肉饼。</x:v>
      </x:c>
    </x:row>
    <x:row r="25" ht="60" customHeight="1">
      <x:c r="A25" s="18" t="str">
        <x:v>R21</x:v>
      </x:c>
      <x:c r="B25" s="18" t="str">
        <x:v>肉蛋海鲜</x:v>
      </x:c>
      <x:c r="C25" s="18" t="str">
        <x:v>白身鱼肉</x:v>
      </x:c>
      <x:c r="D25" s="18" t="str">
        <x:v>供货直接取得</x:v>
      </x:c>
      <x:c r="E25" s="18" t="str">
        <x:v>供应端分份、去骨去壳；生熟状态分开，不自行制作牛肉饼。</x:v>
      </x:c>
    </x:row>
    <x:row r="26" ht="60" customHeight="1">
      <x:c r="A26" s="18" t="str">
        <x:v>R22</x:v>
      </x:c>
      <x:c r="B26" s="18" t="str">
        <x:v>肉蛋海鲜</x:v>
      </x:c>
      <x:c r="C26" s="18" t="str">
        <x:v>虾仁</x:v>
      </x:c>
      <x:c r="D26" s="18" t="str">
        <x:v>供货直接取得</x:v>
      </x:c>
      <x:c r="E26" s="18" t="str">
        <x:v>供应端分份、去骨去壳；生熟状态分开，不自行制作牛肉饼。</x:v>
      </x:c>
    </x:row>
    <x:row r="27" ht="60" customHeight="1">
      <x:c r="A27" s="18" t="str">
        <x:v>R23</x:v>
      </x:c>
      <x:c r="B27" s="18" t="str">
        <x:v>肉蛋海鲜</x:v>
      </x:c>
      <x:c r="C27" s="18" t="str">
        <x:v>生香肠</x:v>
      </x:c>
      <x:c r="D27" s="18" t="str">
        <x:v>供货直接取得</x:v>
      </x:c>
      <x:c r="E27" s="18" t="str">
        <x:v>供应端分份、去骨去壳；生熟状态分开，不自行制作牛肉饼。</x:v>
      </x:c>
    </x:row>
    <x:row r="28" ht="60" customHeight="1">
      <x:c r="A28" s="18" t="str">
        <x:v>R24</x:v>
      </x:c>
      <x:c r="B28" s="18" t="str">
        <x:v>肉蛋海鲜</x:v>
      </x:c>
      <x:c r="C28" s="18" t="str">
        <x:v>培根</x:v>
      </x:c>
      <x:c r="D28" s="18" t="str">
        <x:v>供货直接取得</x:v>
      </x:c>
      <x:c r="E28" s="18" t="str">
        <x:v>供应端分份、去骨去壳；生熟状态分开，不自行制作牛肉饼。</x:v>
      </x:c>
    </x:row>
    <x:row r="29" ht="60" customHeight="1">
      <x:c r="A29" s="18" t="str">
        <x:v>R25</x:v>
      </x:c>
      <x:c r="B29" s="18" t="str">
        <x:v>肉蛋海鲜</x:v>
      </x:c>
      <x:c r="C29" s="18" t="str">
        <x:v>鸡蛋</x:v>
      </x:c>
      <x:c r="D29" s="18" t="str">
        <x:v>供货直接取得</x:v>
      </x:c>
      <x:c r="E29" s="18" t="str">
        <x:v>供应端分份、去骨去壳；生熟状态分开，不自行制作牛肉饼。</x:v>
      </x:c>
    </x:row>
    <x:row r="30" ht="60" customHeight="1">
      <x:c r="A30" s="18" t="str">
        <x:v>R26</x:v>
      </x:c>
      <x:c r="B30" s="18" t="str">
        <x:v>乳品与冷饮基料</x:v>
      </x:c>
      <x:c r="C30" s="18" t="str">
        <x:v>牛奶</x:v>
      </x:c>
      <x:c r="D30" s="18" t="str">
        <x:v>供货直接取得</x:v>
      </x:c>
      <x:c r="E30" s="18" t="str">
        <x:v>直接供应；冰淇淋不在本版现场制造。</x:v>
      </x:c>
    </x:row>
    <x:row r="31" ht="60" customHeight="1">
      <x:c r="A31" s="18" t="str">
        <x:v>R27</x:v>
      </x:c>
      <x:c r="B31" s="18" t="str">
        <x:v>乳品与冷饮基料</x:v>
      </x:c>
      <x:c r="C31" s="18" t="str">
        <x:v>淡奶油</x:v>
      </x:c>
      <x:c r="D31" s="18" t="str">
        <x:v>供货直接取得</x:v>
      </x:c>
      <x:c r="E31" s="18" t="str">
        <x:v>直接供应；冰淇淋不在本版现场制造。</x:v>
      </x:c>
    </x:row>
    <x:row r="32" ht="60" customHeight="1">
      <x:c r="A32" s="18" t="str">
        <x:v>R28</x:v>
      </x:c>
      <x:c r="B32" s="18" t="str">
        <x:v>乳品与冷饮基料</x:v>
      </x:c>
      <x:c r="C32" s="18" t="str">
        <x:v>芝士片</x:v>
      </x:c>
      <x:c r="D32" s="18" t="str">
        <x:v>供货直接取得</x:v>
      </x:c>
      <x:c r="E32" s="18" t="str">
        <x:v>直接供应；冰淇淋不在本版现场制造。</x:v>
      </x:c>
    </x:row>
    <x:row r="33" ht="60" customHeight="1">
      <x:c r="A33" s="18" t="str">
        <x:v>R29</x:v>
      </x:c>
      <x:c r="B33" s="18" t="str">
        <x:v>乳品与冷饮基料</x:v>
      </x:c>
      <x:c r="C33" s="18" t="str">
        <x:v>软芝士</x:v>
      </x:c>
      <x:c r="D33" s="18" t="str">
        <x:v>供货直接取得</x:v>
      </x:c>
      <x:c r="E33" s="18" t="str">
        <x:v>直接供应；冰淇淋不在本版现场制造。</x:v>
      </x:c>
    </x:row>
    <x:row r="34" ht="60" customHeight="1">
      <x:c r="A34" s="18" t="str">
        <x:v>R30</x:v>
      </x:c>
      <x:c r="B34" s="18" t="str">
        <x:v>乳品与冷饮基料</x:v>
      </x:c>
      <x:c r="C34" s="18" t="str">
        <x:v>酸奶</x:v>
      </x:c>
      <x:c r="D34" s="18" t="str">
        <x:v>供货直接取得</x:v>
      </x:c>
      <x:c r="E34" s="18" t="str">
        <x:v>直接供应；冰淇淋不在本版现场制造。</x:v>
      </x:c>
    </x:row>
    <x:row r="35" ht="60" customHeight="1">
      <x:c r="A35" s="18" t="str">
        <x:v>R31</x:v>
      </x:c>
      <x:c r="B35" s="18" t="str">
        <x:v>乳品与冷饮基料</x:v>
      </x:c>
      <x:c r="C35" s="18" t="str">
        <x:v>香草冰淇淋</x:v>
      </x:c>
      <x:c r="D35" s="18" t="str">
        <x:v>供货直接取得</x:v>
      </x:c>
      <x:c r="E35" s="18" t="str">
        <x:v>直接供应；冰淇淋不在本版现场制造。</x:v>
      </x:c>
    </x:row>
    <x:row r="36" ht="60" customHeight="1">
      <x:c r="A36" s="18" t="str">
        <x:v>R32</x:v>
      </x:c>
      <x:c r="B36" s="18" t="str">
        <x:v>乳品与冷饮基料</x:v>
      </x:c>
      <x:c r="C36" s="18" t="str">
        <x:v>椰奶</x:v>
      </x:c>
      <x:c r="D36" s="18" t="str">
        <x:v>供货直接取得</x:v>
      </x:c>
      <x:c r="E36" s="18" t="str">
        <x:v>直接供应；冰淇淋不在本版现场制造。</x:v>
      </x:c>
    </x:row>
    <x:row r="37" ht="60" customHeight="1">
      <x:c r="A37" s="18" t="str">
        <x:v>R33</x:v>
      </x:c>
      <x:c r="B37" s="18" t="str">
        <x:v>谷物与预制主料</x:v>
      </x:c>
      <x:c r="C37" s="18" t="str">
        <x:v>米</x:v>
      </x:c>
      <x:c r="D37" s="18" t="str">
        <x:v>供货直接取得</x:v>
      </x:c>
      <x:c r="E37" s="18" t="str">
        <x:v>面包已烤好；披萨面团已发酵；皮/生坯按份供应；甜点预拌粉含糖与膨松基础。</x:v>
      </x:c>
    </x:row>
    <x:row r="38" ht="60" customHeight="1">
      <x:c r="A38" s="18" t="str">
        <x:v>R34</x:v>
      </x:c>
      <x:c r="B38" s="18" t="str">
        <x:v>谷物与预制主料</x:v>
      </x:c>
      <x:c r="C38" s="18" t="str">
        <x:v>干意面</x:v>
      </x:c>
      <x:c r="D38" s="18" t="str">
        <x:v>供货直接取得</x:v>
      </x:c>
      <x:c r="E38" s="18" t="str">
        <x:v>面包已烤好；披萨面团已发酵；皮/生坯按份供应；甜点预拌粉含糖与膨松基础。</x:v>
      </x:c>
    </x:row>
    <x:row r="39" ht="60" customHeight="1">
      <x:c r="A39" s="18" t="str">
        <x:v>R35</x:v>
      </x:c>
      <x:c r="B39" s="18" t="str">
        <x:v>谷物与预制主料</x:v>
      </x:c>
      <x:c r="C39" s="18" t="str">
        <x:v>汉堡面包</x:v>
      </x:c>
      <x:c r="D39" s="18" t="str">
        <x:v>供货直接取得</x:v>
      </x:c>
      <x:c r="E39" s="18" t="str">
        <x:v>面包已烤好；披萨面团已发酵；皮/生坯按份供应；甜点预拌粉含糖与膨松基础。</x:v>
      </x:c>
    </x:row>
    <x:row r="40" ht="60" customHeight="1">
      <x:c r="A40" s="18" t="str">
        <x:v>R36</x:v>
      </x:c>
      <x:c r="B40" s="18" t="str">
        <x:v>谷物与预制主料</x:v>
      </x:c>
      <x:c r="C40" s="18" t="str">
        <x:v>热狗面包</x:v>
      </x:c>
      <x:c r="D40" s="18" t="str">
        <x:v>供货直接取得</x:v>
      </x:c>
      <x:c r="E40" s="18" t="str">
        <x:v>面包已烤好；披萨面团已发酵；皮/生坯按份供应；甜点预拌粉含糖与膨松基础。</x:v>
      </x:c>
    </x:row>
    <x:row r="41" ht="60" customHeight="1">
      <x:c r="A41" s="18" t="str">
        <x:v>R37</x:v>
      </x:c>
      <x:c r="B41" s="18" t="str">
        <x:v>谷物与预制主料</x:v>
      </x:c>
      <x:c r="C41" s="18" t="str">
        <x:v>吐司片</x:v>
      </x:c>
      <x:c r="D41" s="18" t="str">
        <x:v>供货直接取得</x:v>
      </x:c>
      <x:c r="E41" s="18" t="str">
        <x:v>面包已烤好；披萨面团已发酵；皮/生坯按份供应；甜点预拌粉含糖与膨松基础。</x:v>
      </x:c>
    </x:row>
    <x:row r="42" ht="60" customHeight="1">
      <x:c r="A42" s="18" t="str">
        <x:v>R38</x:v>
      </x:c>
      <x:c r="B42" s="18" t="str">
        <x:v>谷物与预制主料</x:v>
      </x:c>
      <x:c r="C42" s="18" t="str">
        <x:v>卷饼皮</x:v>
      </x:c>
      <x:c r="D42" s="18" t="str">
        <x:v>供货直接取得</x:v>
      </x:c>
      <x:c r="E42" s="18" t="str">
        <x:v>面包已烤好；披萨面团已发酵；皮/生坯按份供应；甜点预拌粉含糖与膨松基础。</x:v>
      </x:c>
    </x:row>
    <x:row r="43" ht="60" customHeight="1">
      <x:c r="A43" s="18" t="str">
        <x:v>R39</x:v>
      </x:c>
      <x:c r="B43" s="18" t="str">
        <x:v>谷物与预制主料</x:v>
      </x:c>
      <x:c r="C43" s="18" t="str">
        <x:v>饺子皮</x:v>
      </x:c>
      <x:c r="D43" s="18" t="str">
        <x:v>供货直接取得</x:v>
      </x:c>
      <x:c r="E43" s="18" t="str">
        <x:v>面包已烤好；披萨面团已发酵；皮/生坯按份供应；甜点预拌粉含糖与膨松基础。</x:v>
      </x:c>
    </x:row>
    <x:row r="44" ht="60" customHeight="1">
      <x:c r="A44" s="18" t="str">
        <x:v>R40</x:v>
      </x:c>
      <x:c r="B44" s="18" t="str">
        <x:v>谷物与预制主料</x:v>
      </x:c>
      <x:c r="C44" s="18" t="str">
        <x:v>披萨面团</x:v>
      </x:c>
      <x:c r="D44" s="18" t="str">
        <x:v>供货直接取得</x:v>
      </x:c>
      <x:c r="E44" s="18" t="str">
        <x:v>面包已烤好；披萨面团已发酵；皮/生坯按份供应；甜点预拌粉含糖与膨松基础。</x:v>
      </x:c>
    </x:row>
    <x:row r="45" ht="60" customHeight="1">
      <x:c r="A45" s="18" t="str">
        <x:v>R41</x:v>
      </x:c>
      <x:c r="B45" s="18" t="str">
        <x:v>谷物与预制主料</x:v>
      </x:c>
      <x:c r="C45" s="18" t="str">
        <x:v>甜点预拌粉</x:v>
      </x:c>
      <x:c r="D45" s="18" t="str">
        <x:v>供货直接取得</x:v>
      </x:c>
      <x:c r="E45" s="18" t="str">
        <x:v>面包已烤好；披萨面团已发酵；皮/生坯按份供应；甜点预拌粉含糖与膨松基础。</x:v>
      </x:c>
    </x:row>
    <x:row r="46" ht="60" customHeight="1">
      <x:c r="A46" s="18" t="str">
        <x:v>R42</x:v>
      </x:c>
      <x:c r="B46" s="18" t="str">
        <x:v>谷物与预制主料</x:v>
      </x:c>
      <x:c r="C46" s="18" t="str">
        <x:v>生甜甜圈坯</x:v>
      </x:c>
      <x:c r="D46" s="18" t="str">
        <x:v>供货直接取得</x:v>
      </x:c>
      <x:c r="E46" s="18" t="str">
        <x:v>面包已烤好；披萨面团已发酵；皮/生坯按份供应；甜点预拌粉含糖与膨松基础。</x:v>
      </x:c>
    </x:row>
    <x:row r="47" ht="60" customHeight="1">
      <x:c r="A47" s="18" t="str">
        <x:v>R43</x:v>
      </x:c>
      <x:c r="B47" s="18" t="str">
        <x:v>谷物与预制主料</x:v>
      </x:c>
      <x:c r="C47" s="18" t="str">
        <x:v>派皮</x:v>
      </x:c>
      <x:c r="D47" s="18" t="str">
        <x:v>供货直接取得</x:v>
      </x:c>
      <x:c r="E47" s="18" t="str">
        <x:v>面包已烤好；披萨面团已发酵；皮/生坯按份供应；甜点预拌粉含糖与膨松基础。</x:v>
      </x:c>
    </x:row>
    <x:row r="48" ht="60" customHeight="1">
      <x:c r="A48" s="18" t="str">
        <x:v>R44</x:v>
      </x:c>
      <x:c r="B48" s="18" t="str">
        <x:v>谷物与预制主料</x:v>
      </x:c>
      <x:c r="C48" s="18" t="str">
        <x:v>饼干片</x:v>
      </x:c>
      <x:c r="D48" s="18" t="str">
        <x:v>供货直接取得</x:v>
      </x:c>
      <x:c r="E48" s="18" t="str">
        <x:v>面包已烤好；披萨面团已发酵；皮/生坯按份供应；甜点预拌粉含糖与膨松基础。</x:v>
      </x:c>
    </x:row>
    <x:row r="49" ht="60" customHeight="1">
      <x:c r="A49" s="18" t="str">
        <x:v>R45</x:v>
      </x:c>
      <x:c r="B49" s="18" t="str">
        <x:v>谷物与预制主料</x:v>
      </x:c>
      <x:c r="C49" s="18" t="str">
        <x:v>海苔</x:v>
      </x:c>
      <x:c r="D49" s="18" t="str">
        <x:v>供货直接取得</x:v>
      </x:c>
      <x:c r="E49" s="18" t="str">
        <x:v>面包已烤好；披萨面团已发酵；皮/生坯按份供应；甜点预拌粉含糖与膨松基础。</x:v>
      </x:c>
    </x:row>
    <x:row r="50" ht="60" customHeight="1">
      <x:c r="A50" s="18" t="str">
        <x:v>R46</x:v>
      </x:c>
      <x:c r="B50" s="18" t="str">
        <x:v>谷物与预制主料</x:v>
      </x:c>
      <x:c r="C50" s="18" t="str">
        <x:v>生薯条</x:v>
      </x:c>
      <x:c r="D50" s="18" t="str">
        <x:v>供货直接取得</x:v>
      </x:c>
      <x:c r="E50" s="18" t="str">
        <x:v>面包已烤好；披萨面团已发酵；皮/生坯按份供应；甜点预拌粉含糖与膨松基础。</x:v>
      </x:c>
    </x:row>
    <x:row r="51" ht="60" customHeight="1">
      <x:c r="A51" s="18" t="str">
        <x:v>R47</x:v>
      </x:c>
      <x:c r="B51" s="18" t="str">
        <x:v>谷物与预制主料</x:v>
      </x:c>
      <x:c r="C51" s="18" t="str">
        <x:v>炸粉</x:v>
      </x:c>
      <x:c r="D51" s="18" t="str">
        <x:v>供货直接取得</x:v>
      </x:c>
      <x:c r="E51" s="18" t="str">
        <x:v>面包已烤好；披萨面团已发酵；皮/生坯按份供应；甜点预拌粉含糖与膨松基础。</x:v>
      </x:c>
    </x:row>
    <x:row r="52" ht="60" customHeight="1">
      <x:c r="A52" s="18" t="str">
        <x:v>R48</x:v>
      </x:c>
      <x:c r="B52" s="18" t="str">
        <x:v>咸味基础</x:v>
      </x:c>
      <x:c r="C52" s="18" t="str">
        <x:v>清汤底</x:v>
      </x:c>
      <x:c r="D52" s="18" t="str">
        <x:v>供货直接取得</x:v>
      </x:c>
      <x:c r="E52" s="18" t="str">
        <x:v>供应的调味/汤底；不再从骨头、香料开始制作。</x:v>
      </x:c>
    </x:row>
    <x:row r="53" ht="60" customHeight="1">
      <x:c r="A53" s="18" t="str">
        <x:v>R49</x:v>
      </x:c>
      <x:c r="B53" s="18" t="str">
        <x:v>咸味基础</x:v>
      </x:c>
      <x:c r="C53" s="18" t="str">
        <x:v>番茄酱</x:v>
      </x:c>
      <x:c r="D53" s="18" t="str">
        <x:v>供货直接取得</x:v>
      </x:c>
      <x:c r="E53" s="18" t="str">
        <x:v>供应的调味/汤底；不再从骨头、香料开始制作。</x:v>
      </x:c>
    </x:row>
    <x:row r="54" ht="60" customHeight="1">
      <x:c r="A54" s="18" t="str">
        <x:v>R50</x:v>
      </x:c>
      <x:c r="B54" s="18" t="str">
        <x:v>咸味基础</x:v>
      </x:c>
      <x:c r="C54" s="18" t="str">
        <x:v>芥末酱</x:v>
      </x:c>
      <x:c r="D54" s="18" t="str">
        <x:v>供货直接取得</x:v>
      </x:c>
      <x:c r="E54" s="18" t="str">
        <x:v>供应的调味/汤底；不再从骨头、香料开始制作。</x:v>
      </x:c>
    </x:row>
    <x:row r="55" ht="60" customHeight="1">
      <x:c r="A55" s="18" t="str">
        <x:v>R51</x:v>
      </x:c>
      <x:c r="B55" s="18" t="str">
        <x:v>甜味配料</x:v>
      </x:c>
      <x:c r="C55" s="18" t="str">
        <x:v>糖浆</x:v>
      </x:c>
      <x:c r="D55" s="18" t="str">
        <x:v>供货直接取得</x:v>
      </x:c>
      <x:c r="E55" s="18" t="str">
        <x:v>只在明确列入的配方使用；不要求每道菜另做加糖步骤。</x:v>
      </x:c>
    </x:row>
    <x:row r="56" ht="60" customHeight="1">
      <x:c r="A56" s="18" t="str">
        <x:v>R52</x:v>
      </x:c>
      <x:c r="B56" s="18" t="str">
        <x:v>甜味配料</x:v>
      </x:c>
      <x:c r="C56" s="18" t="str">
        <x:v>黑糖浆</x:v>
      </x:c>
      <x:c r="D56" s="18" t="str">
        <x:v>供货直接取得</x:v>
      </x:c>
      <x:c r="E56" s="18" t="str">
        <x:v>只在明确列入的配方使用；不要求每道菜另做加糖步骤。</x:v>
      </x:c>
    </x:row>
    <x:row r="57" ht="60" customHeight="1">
      <x:c r="A57" s="18" t="str">
        <x:v>R53</x:v>
      </x:c>
      <x:c r="B57" s="18" t="str">
        <x:v>甜味配料</x:v>
      </x:c>
      <x:c r="C57" s="18" t="str">
        <x:v>蜂蜜</x:v>
      </x:c>
      <x:c r="D57" s="18" t="str">
        <x:v>供货直接取得</x:v>
      </x:c>
      <x:c r="E57" s="18" t="str">
        <x:v>只在明确列入的配方使用；不要求每道菜另做加糖步骤。</x:v>
      </x:c>
    </x:row>
    <x:row r="58" ht="60" customHeight="1">
      <x:c r="A58" s="18" t="str">
        <x:v>R54</x:v>
      </x:c>
      <x:c r="B58" s="18" t="str">
        <x:v>甜味配料</x:v>
      </x:c>
      <x:c r="C58" s="18" t="str">
        <x:v>可可粉</x:v>
      </x:c>
      <x:c r="D58" s="18" t="str">
        <x:v>供货直接取得</x:v>
      </x:c>
      <x:c r="E58" s="18" t="str">
        <x:v>只在明确列入的配方使用；不要求每道菜另做加糖步骤。</x:v>
      </x:c>
    </x:row>
    <x:row r="59" ht="60" customHeight="1">
      <x:c r="A59" s="18" t="str">
        <x:v>R55</x:v>
      </x:c>
      <x:c r="B59" s="18" t="str">
        <x:v>甜味配料</x:v>
      </x:c>
      <x:c r="C59" s="18" t="str">
        <x:v>巧克力酱</x:v>
      </x:c>
      <x:c r="D59" s="18" t="str">
        <x:v>供货直接取得</x:v>
      </x:c>
      <x:c r="E59" s="18" t="str">
        <x:v>只在明确列入的配方使用；不要求每道菜另做加糖步骤。</x:v>
      </x:c>
    </x:row>
    <x:row r="60" ht="60" customHeight="1">
      <x:c r="A60" s="18" t="str">
        <x:v>R56</x:v>
      </x:c>
      <x:c r="B60" s="18" t="str">
        <x:v>甜味配料</x:v>
      </x:c>
      <x:c r="C60" s="18" t="str">
        <x:v>草莓酱</x:v>
      </x:c>
      <x:c r="D60" s="18" t="str">
        <x:v>供货直接取得</x:v>
      </x:c>
      <x:c r="E60" s="18" t="str">
        <x:v>只在明确列入的配方使用；不要求每道菜另做加糖步骤。</x:v>
      </x:c>
    </x:row>
    <x:row r="61" ht="60" customHeight="1">
      <x:c r="A61" s="18" t="str">
        <x:v>R57</x:v>
      </x:c>
      <x:c r="B61" s="18" t="str">
        <x:v>甜味配料</x:v>
      </x:c>
      <x:c r="C61" s="18" t="str">
        <x:v>棉花糖</x:v>
      </x:c>
      <x:c r="D61" s="18" t="str">
        <x:v>供货直接取得</x:v>
      </x:c>
      <x:c r="E61" s="18" t="str">
        <x:v>只在明确列入的配方使用；不要求每道菜另做加糖步骤。</x:v>
      </x:c>
    </x:row>
    <x:row r="62" ht="60" customHeight="1">
      <x:c r="A62" s="18" t="str">
        <x:v>R58</x:v>
      </x:c>
      <x:c r="B62" s="18" t="str">
        <x:v>甜味配料</x:v>
      </x:c>
      <x:c r="C62" s="18" t="str">
        <x:v>巧克力块</x:v>
      </x:c>
      <x:c r="D62" s="18" t="str">
        <x:v>供货直接取得</x:v>
      </x:c>
      <x:c r="E62" s="18" t="str">
        <x:v>只在明确列入的配方使用；不要求每道菜另做加糖步骤。</x:v>
      </x:c>
    </x:row>
    <x:row r="63" ht="60" customHeight="1">
      <x:c r="A63" s="18" t="str">
        <x:v>R59</x:v>
      </x:c>
      <x:c r="B63" s="18" t="str">
        <x:v>茶咖啡与冲调原料</x:v>
      </x:c>
      <x:c r="C63" s="18" t="str">
        <x:v>红茶叶</x:v>
      </x:c>
      <x:c r="D63" s="18" t="str">
        <x:v>供货直接取得</x:v>
      </x:c>
      <x:c r="E63" s="18" t="str"/>
    </x:row>
    <x:row r="64" ht="60" customHeight="1">
      <x:c r="A64" s="18" t="str">
        <x:v>R60</x:v>
      </x:c>
      <x:c r="B64" s="18" t="str">
        <x:v>茶咖啡与冲调原料</x:v>
      </x:c>
      <x:c r="C64" s="18" t="str">
        <x:v>绿茶叶</x:v>
      </x:c>
      <x:c r="D64" s="18" t="str">
        <x:v>供货直接取得</x:v>
      </x:c>
      <x:c r="E64" s="18" t="str"/>
    </x:row>
    <x:row r="65" ht="60" customHeight="1">
      <x:c r="A65" s="18" t="str">
        <x:v>R61</x:v>
      </x:c>
      <x:c r="B65" s="18" t="str">
        <x:v>茶咖啡与冲调原料</x:v>
      </x:c>
      <x:c r="C65" s="18" t="str">
        <x:v>乌龙茶叶</x:v>
      </x:c>
      <x:c r="D65" s="18" t="str">
        <x:v>供货直接取得</x:v>
      </x:c>
      <x:c r="E65" s="18" t="str"/>
    </x:row>
    <x:row r="66" ht="60" customHeight="1">
      <x:c r="A66" s="18" t="str">
        <x:v>R62</x:v>
      </x:c>
      <x:c r="B66" s="18" t="str">
        <x:v>茶咖啡与冲调原料</x:v>
      </x:c>
      <x:c r="C66" s="18" t="str">
        <x:v>咖啡豆</x:v>
      </x:c>
      <x:c r="D66" s="18" t="str">
        <x:v>供货直接取得</x:v>
      </x:c>
      <x:c r="E66" s="18" t="str"/>
    </x:row>
    <x:row r="67" ht="60" customHeight="1">
      <x:c r="A67" s="18" t="str">
        <x:v>R63</x:v>
      </x:c>
      <x:c r="B67" s="18" t="str">
        <x:v>茶咖啡与冲调原料</x:v>
      </x:c>
      <x:c r="C67" s="18" t="str">
        <x:v>速溶奶茶粉</x:v>
      </x:c>
      <x:c r="D67" s="18" t="str">
        <x:v>供货直接取得</x:v>
      </x:c>
      <x:c r="E67" s="18" t="str"/>
    </x:row>
    <x:row r="68" ht="60" customHeight="1">
      <x:c r="A68" s="18" t="str">
        <x:v>R64</x:v>
      </x:c>
      <x:c r="B68" s="18" t="str">
        <x:v>茶咖啡与冲调原料</x:v>
      </x:c>
      <x:c r="C68" s="18" t="str">
        <x:v>抹茶粉</x:v>
      </x:c>
      <x:c r="D68" s="18" t="str">
        <x:v>供货直接取得</x:v>
      </x:c>
      <x:c r="E68" s="18" t="str"/>
    </x:row>
    <x:row r="69" ht="60" customHeight="1">
      <x:c r="A69" s="18" t="str">
        <x:v>R65</x:v>
      </x:c>
      <x:c r="B69" s="18" t="str">
        <x:v>饮品小料</x:v>
      </x:c>
      <x:c r="C69" s="18" t="str">
        <x:v>生珍珠</x:v>
      </x:c>
      <x:c r="D69" s="18" t="str">
        <x:v>供货直接取得</x:v>
      </x:c>
      <x:c r="E69" s="18" t="str">
        <x:v>珍珠必须煮；椰果和仙草冻直接供应。</x:v>
      </x:c>
    </x:row>
    <x:row r="70" ht="60" customHeight="1">
      <x:c r="A70" s="18" t="str">
        <x:v>R66</x:v>
      </x:c>
      <x:c r="B70" s="18" t="str">
        <x:v>饮品小料</x:v>
      </x:c>
      <x:c r="C70" s="18" t="str">
        <x:v>椰果</x:v>
      </x:c>
      <x:c r="D70" s="18" t="str">
        <x:v>供货直接取得</x:v>
      </x:c>
      <x:c r="E70" s="18" t="str">
        <x:v>珍珠必须煮；椰果和仙草冻直接供应。</x:v>
      </x:c>
    </x:row>
    <x:row r="71" ht="60" customHeight="1">
      <x:c r="A71" s="18" t="str">
        <x:v>R67</x:v>
      </x:c>
      <x:c r="B71" s="18" t="str">
        <x:v>饮品小料</x:v>
      </x:c>
      <x:c r="C71" s="18" t="str">
        <x:v>仙草冻</x:v>
      </x:c>
      <x:c r="D71" s="18" t="str">
        <x:v>供货直接取得</x:v>
      </x:c>
      <x:c r="E71" s="18" t="str">
        <x:v>珍珠必须煮；椰果和仙草冻直接供应。</x:v>
      </x:c>
    </x:row>
    <x:row r="72" ht="60" customHeight="1">
      <x:c r="A72" s="18" t="str">
        <x:v>R68</x:v>
      </x:c>
      <x:c r="B72" s="18" t="str">
        <x:v>饮用液体与冰</x:v>
      </x:c>
      <x:c r="C72" s="18" t="str">
        <x:v>饮用水</x:v>
      </x:c>
      <x:c r="D72" s="18" t="str">
        <x:v>取水台直接取得</x:v>
      </x:c>
      <x:c r="E72" s="18" t="str">
        <x:v>饮品配方中的一份水为游戏单位。</x:v>
      </x:c>
    </x:row>
    <x:row r="73" ht="60" customHeight="1">
      <x:c r="A73" s="18" t="str">
        <x:v>R69</x:v>
      </x:c>
      <x:c r="B73" s="18" t="str">
        <x:v>饮用液体与冰</x:v>
      </x:c>
      <x:c r="C73" s="18" t="str">
        <x:v>冰块</x:v>
      </x:c>
      <x:c r="D73" s="18" t="str">
        <x:v>供货后放入冰槽</x:v>
      </x:c>
      <x:c r="E73" s="18" t="str">
        <x:v>加冰一次代表一个标准冰份；不计融化，不做冰机生产线。</x:v>
      </x:c>
    </x:row>
    <x:row r="74" ht="60" customHeight="1">
      <x:c r="A74" s="18" t="str">
        <x:v>R70</x:v>
      </x:c>
      <x:c r="B74" s="18" t="str">
        <x:v>饮用液体与冰</x:v>
      </x:c>
      <x:c r="C74" s="18" t="str">
        <x:v>可乐原液</x:v>
      </x:c>
      <x:c r="D74" s="18" t="str">
        <x:v>供货接入汽水机</x:v>
      </x:c>
      <x:c r="E74" s="18" t="str">
        <x:v>游戏中指可直接分装的可乐饮料液，不做原浆稀释比例模拟。</x:v>
      </x:c>
    </x:row>
    <x:row r="75" ht="60" customHeight="1">
      <x:c r="A75" s="18" t="str">
        <x:v>R71</x:v>
      </x:c>
      <x:c r="B75" s="18" t="str">
        <x:v>饮用液体与冰</x:v>
      </x:c>
      <x:c r="C75" s="18" t="str">
        <x:v>苏打水原液</x:v>
      </x:c>
      <x:c r="D75" s="18" t="str">
        <x:v>供货接入汽水机</x:v>
      </x:c>
      <x:c r="E75" s="18" t="str">
        <x:v>游戏中指可直接分装的苏打水，不模拟碳酸浓度。</x:v>
      </x:c>
    </x:row>
    <x:row r="76" ht="60" customHeight="1">
      <x:c r="A76" s="18" t="str">
        <x:v>R72</x:v>
      </x:c>
      <x:c r="B76" s="18" t="str">
        <x:v>肉蛋海鲜</x:v>
      </x:c>
      <x:c r="C76" s="18" t="str">
        <x:v>意式腊肠片</x:v>
      </x:c>
      <x:c r="D76" s="18" t="str">
        <x:v>供货直接取得</x:v>
      </x:c>
      <x:c r="E76" s="18" t="str">
        <x:v>即用预制切片；披萨中随饼底烤制。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1223776405e4be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40" hidden="0" customWidth="1"/>
    <x:col min="4" max="4" width="40" hidden="0" customWidth="1"/>
  </x:cols>
  <x:sheetData>
    <x:row r="1" ht="34" customHeight="1">
      <x:c r="A1" s="8" t="str">
        <x:v>功能工位 · 19种（含贴单）</x:v>
      </x:c>
      <x:c r="B1" s="8"/>
      <x:c r="C1" s="8"/>
      <x:c r="D1" s="8"/>
    </x:row>
    <x:row r="2" ht="34" customHeight="1">
      <x:c r="A2" s="14" t="str">
        <x:v>功能工位可以后续共享模型或合并设备；此处用于核对依赖，不决定设备购买、尺寸、价格或摆放权限。</x:v>
      </x:c>
      <x:c r="B2" s="14"/>
      <x:c r="C2" s="14"/>
      <x:c r="D2" s="14"/>
    </x:row>
    <x:row r="3">
      <x:c r="A3" s="4"/>
      <x:c r="B3" s="4"/>
      <x:c r="C3" s="4"/>
      <x:c r="D3" s="4"/>
    </x:row>
    <x:row r="4" ht="30" customHeight="1">
      <x:c r="A4" s="23" t="str">
        <x:v>编号</x:v>
      </x:c>
      <x:c r="B4" s="23" t="str">
        <x:v>工位</x:v>
      </x:c>
      <x:c r="C4" s="23" t="str">
        <x:v>加工能力</x:v>
      </x:c>
      <x:c r="D4" s="23" t="str">
        <x:v>操作边界</x:v>
      </x:c>
    </x:row>
    <x:row r="5" ht="76" customHeight="1">
      <x:c r="A5" s="18" t="str">
        <x:v>T01</x:v>
      </x:c>
      <x:c r="B5" s="18" t="str">
        <x:v>切配台</x:v>
      </x:c>
      <x:c r="C5" s="18" t="str">
        <x:v>切配蔬果、肉鱼；处理一份原料</x:v>
      </x:c>
      <x:c r="D5" s="18" t="str">
        <x:v>统一交互；没有刀数、轨迹、去皮清洗小游戏。</x:v>
      </x:c>
    </x:row>
    <x:row r="6" ht="76" customHeight="1">
      <x:c r="A6" s="18" t="str">
        <x:v>T02</x:v>
      </x:c>
      <x:c r="B6" s="18" t="str">
        <x:v>组装台</x:v>
      </x:c>
      <x:c r="C6" s="18" t="str">
        <x:v>装配、裹粉、卷合、包制、整份摆盘</x:v>
      </x:c>
      <x:c r="D6" s="18" t="str">
        <x:v>一份一个操作结果；不逐个饺子捏褶、不逐层微调坐标。</x:v>
      </x:c>
    </x:row>
    <x:row r="7" ht="76" customHeight="1">
      <x:c r="A7" s="18" t="str">
        <x:v>T03</x:v>
      </x:c>
      <x:c r="B7" s="18" t="str">
        <x:v>煮锅</x:v>
      </x:c>
      <x:c r="C7" s="18" t="str">
        <x:v>煮饭、煮面、熬汤、炖煮、煮珍珠</x:v>
      </x:c>
      <x:c r="D7" s="18" t="str">
        <x:v>各任务独占一只锅；水油盐为设备/基础配方抽象，不逐次搬水加油。</x:v>
      </x:c>
    </x:row>
    <x:row r="8" ht="76" customHeight="1">
      <x:c r="A8" s="18" t="str">
        <x:v>T04</x:v>
      </x:c>
      <x:c r="B8" s="18" t="str">
        <x:v>煎台</x:v>
      </x:c>
      <x:c r="C8" s="18" t="str">
        <x:v>煎肉、煎蛋、煎松饼、炒/熬酱</x:v>
      </x:c>
      <x:c r="D8" s="18" t="str">
        <x:v>投料后计时，玩家可离开；不增加翻面时机小游戏。</x:v>
      </x:c>
    </x:row>
    <x:row r="9" ht="76" customHeight="1">
      <x:c r="A9" s="18" t="str">
        <x:v>T05</x:v>
      </x:c>
      <x:c r="B9" s="18" t="str">
        <x:v>烤箱</x:v>
      </x:c>
      <x:c r="C9" s="18" t="str">
        <x:v>烤披萨、蛋糕、果派、拼盘、吐司</x:v>
      </x:c>
      <x:c r="D9" s="18" t="str">
        <x:v>烤盘或模具进出；不模拟预热、发酵、复杂冷却。</x:v>
      </x:c>
    </x:row>
    <x:row r="10" ht="76" customHeight="1">
      <x:c r="A10" s="18" t="str">
        <x:v>T06</x:v>
      </x:c>
      <x:c r="B10" s="18" t="str">
        <x:v>蒸锅</x:v>
      </x:c>
      <x:c r="C10" s="18" t="str">
        <x:v>蒸饺、蒸鱼</x:v>
      </x:c>
      <x:c r="D10" s="18" t="str">
        <x:v>已组合半成品进入加工；不单独补水。</x:v>
      </x:c>
    </x:row>
    <x:row r="11" ht="76" customHeight="1">
      <x:c r="A11" s="18" t="str">
        <x:v>T07</x:v>
      </x:c>
      <x:c r="B11" s="18" t="str">
        <x:v>炸锅</x:v>
      </x:c>
      <x:c r="C11" s="18" t="str">
        <x:v>炸薯条、鸡块、鸡排、鱼排、甜甜圈</x:v>
      </x:c>
      <x:c r="D11" s="18" t="str">
        <x:v>油为设备背景条件；取放与完成状态清楚。</x:v>
      </x:c>
    </x:row>
    <x:row r="12" ht="76" customHeight="1">
      <x:c r="A12" s="18" t="str">
        <x:v>T08</x:v>
      </x:c>
      <x:c r="B12" s="18" t="str">
        <x:v>烤架</x:v>
      </x:c>
      <x:c r="C12" s="18" t="str">
        <x:v>烤串、烤棉花糖</x:v>
      </x:c>
      <x:c r="D12" s="18" t="str">
        <x:v>串制/夹心组装由玩家完成；不添柴、不逐面旋转。</x:v>
      </x:c>
    </x:row>
    <x:row r="13" ht="76" customHeight="1">
      <x:c r="A13" s="18" t="str">
        <x:v>T09</x:v>
      </x:c>
      <x:c r="B13" s="18" t="str">
        <x:v>搅拌机</x:v>
      </x:c>
      <x:c r="C13" s="18" t="str">
        <x:v>制作甜面糊、打发奶油、奶盖</x:v>
      </x:c>
      <x:c r="D13" s="18" t="str">
        <x:v>同一简单启动操作；产物由投入材料决定。</x:v>
      </x:c>
    </x:row>
    <x:row r="14" ht="76" customHeight="1">
      <x:c r="A14" s="18" t="str">
        <x:v>T10</x:v>
      </x:c>
      <x:c r="B14" s="18" t="str">
        <x:v>榨汁机</x:v>
      </x:c>
      <x:c r="C14" s="18" t="str">
        <x:v>水果/蔬菜切配件榨取</x:v>
      </x:c>
      <x:c r="D14" s="18" t="str">
        <x:v>先切配后投料；不精确控制压榨力。</x:v>
      </x:c>
    </x:row>
    <x:row r="15" ht="76" customHeight="1">
      <x:c r="A15" s="18" t="str">
        <x:v>T11</x:v>
      </x:c>
      <x:c r="B15" s="18" t="str">
        <x:v>搅打机</x:v>
      </x:c>
      <x:c r="C15" s="18" t="str">
        <x:v>奶昔、冰沙、果泥</x:v>
      </x:c>
      <x:c r="D15" s="18" t="str">
        <x:v>投料—加工—倒出；无按键节奏。</x:v>
      </x:c>
    </x:row>
    <x:row r="16" ht="76" customHeight="1">
      <x:c r="A16" s="18" t="str">
        <x:v>T12</x:v>
      </x:c>
      <x:c r="B16" s="18" t="str">
        <x:v>调饮台</x:v>
      </x:c>
      <x:c r="C16" s="18" t="str">
        <x:v>定份混合、冲调、按序加料</x:v>
      </x:c>
      <x:c r="D16" s="18" t="str">
        <x:v>一份一次；不精确控制毫升和搅拌圈数。</x:v>
      </x:c>
    </x:row>
    <x:row r="17" ht="76" customHeight="1">
      <x:c r="A17" s="18" t="str">
        <x:v>T13</x:v>
      </x:c>
      <x:c r="B17" s="18" t="str">
        <x:v>泡茶桶</x:v>
      </x:c>
      <x:c r="C17" s="18" t="str">
        <x:v>茶叶加热水制茶底</x:v>
      </x:c>
      <x:c r="D17" s="18" t="str">
        <x:v>茶底可提前做；每桶产出份数作为后续数值项。</x:v>
      </x:c>
    </x:row>
    <x:row r="18" ht="76" customHeight="1">
      <x:c r="A18" s="18" t="str">
        <x:v>T14</x:v>
      </x:c>
      <x:c r="B18" s="18" t="str">
        <x:v>磨豆机</x:v>
      </x:c>
      <x:c r="C18" s="18" t="str">
        <x:v>咖啡豆制咖啡粉</x:v>
      </x:c>
      <x:c r="D18" s="18" t="str">
        <x:v>一次简单加工；无研磨刻度选择。</x:v>
      </x:c>
    </x:row>
    <x:row r="19" ht="76" customHeight="1">
      <x:c r="A19" s="18" t="str">
        <x:v>T15</x:v>
      </x:c>
      <x:c r="B19" s="18" t="str">
        <x:v>咖啡机</x:v>
      </x:c>
      <x:c r="C19" s="18" t="str">
        <x:v>咖啡粉萃取浓缩</x:v>
      </x:c>
      <x:c r="D19" s="18" t="str">
        <x:v>不独立模拟布粉、压粉、清洁把手。</x:v>
      </x:c>
    </x:row>
    <x:row r="20" ht="76" customHeight="1">
      <x:c r="A20" s="18" t="str">
        <x:v>T16</x:v>
      </x:c>
      <x:c r="B20" s="18" t="str">
        <x:v>蒸汽机</x:v>
      </x:c>
      <x:c r="C20" s="18" t="str">
        <x:v>加热牛奶/饮品；牛奶打泡</x:v>
      </x:c>
      <x:c r="D20" s="18" t="str">
        <x:v>加热与打泡是两种明确模式；没有温度瞄准、拉花。</x:v>
      </x:c>
    </x:row>
    <x:row r="21" ht="76" customHeight="1">
      <x:c r="A21" s="18" t="str">
        <x:v>T17</x:v>
      </x:c>
      <x:c r="B21" s="18" t="str">
        <x:v>取水台</x:v>
      </x:c>
      <x:c r="C21" s="18" t="str">
        <x:v>取饮用水、热水</x:v>
      </x:c>
      <x:c r="D21" s="18" t="str">
        <x:v>饮品配方中的水显式存在；烹饪设备用水不逐份操作。</x:v>
      </x:c>
    </x:row>
    <x:row r="22" ht="76" customHeight="1">
      <x:c r="A22" s="18" t="str">
        <x:v>T18</x:v>
      </x:c>
      <x:c r="B22" s="18" t="str">
        <x:v>汽水机</x:v>
      </x:c>
      <x:c r="C22" s="18" t="str">
        <x:v>取可乐、苏打水</x:v>
      </x:c>
      <x:c r="D22" s="18" t="str">
        <x:v>需要供应的饮料液；不是无限凭空生成。</x:v>
      </x:c>
    </x:row>
    <x:row r="23" ht="76" customHeight="1">
      <x:c r="A23" s="18" t="str">
        <x:v>T19</x:v>
      </x:c>
      <x:c r="B23" s="18" t="str">
        <x:v>贴单台</x:v>
      </x:c>
      <x:c r="C23" s="18" t="str">
        <x:v>完成饮品后绑定订单</x:v>
      </x:c>
      <x:c r="D23" s="18" t="str">
        <x:v>不属于配方成分；不对所有餐食附加同样的手续。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89232a4f38b4f9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22" hidden="0" customWidth="1"/>
    <x:col min="4" max="4" width="40" hidden="0" customWidth="1"/>
    <x:col min="5" max="5" width="40" hidden="0" customWidth="1"/>
  </x:cols>
  <x:sheetData>
    <x:row r="1" ht="34" customHeight="1">
      <x:c r="A1" s="8" t="str">
        <x:v>参考出处与使用范围</x:v>
      </x:c>
      <x:c r="B1" s="8"/>
      <x:c r="C1" s="8"/>
      <x:c r="D1" s="8"/>
      <x:c r="E1" s="8"/>
    </x:row>
    <x:row r="2" ht="34" customHeight="1">
      <x:c r="A2" s="14" t="str">
        <x:v>来源只用于核对品类/机制；菜谱投料、加工顺序与供应边界是本次设计。玩家指南与官方资料明确区分。</x:v>
      </x:c>
      <x:c r="B2" s="14"/>
      <x:c r="C2" s="14"/>
      <x:c r="D2" s="14"/>
      <x:c r="E2" s="14"/>
    </x:row>
    <x:row r="3">
      <x:c r="A3" s="4"/>
      <x:c r="B3" s="4"/>
      <x:c r="C3" s="4"/>
      <x:c r="D3" s="4"/>
      <x:c r="E3" s="4"/>
    </x:row>
    <x:row r="4" ht="30" customHeight="1">
      <x:c r="A4" s="23" t="str">
        <x:v>标识</x:v>
      </x:c>
      <x:c r="B4" s="23" t="str">
        <x:v>标题</x:v>
      </x:c>
      <x:c r="C4" s="23" t="str">
        <x:v>来源性质</x:v>
      </x:c>
      <x:c r="D4" s="23" t="str">
        <x:v>本稿采用范围</x:v>
      </x:c>
      <x:c r="E4" s="23" t="str">
        <x:v>链接</x:v>
      </x:c>
    </x:row>
    <x:row r="5" ht="92" customHeight="1">
      <x:c r="A5" s="18" t="str">
        <x:v>OC_MAIN</x:v>
      </x:c>
      <x:c r="B5" s="18" t="str">
        <x:v>Team17｜The A–Z of Overcooked! 2</x:v>
      </x:c>
      <x:c r="C5" s="18" t="str">
        <x:v>官方</x:v>
      </x:c>
      <x:c r="D5" s="18" t="str">
        <x:v>正餐、寿司、意面、松饼、蛋糕等品类，以及果昔/烤串类参考；不据此声称本方案逐条复刻原配方。</x:v>
      </x:c>
      <x:c r="E5" s="18" t="str">
        <x:v>https://www.team17.com/news/the-a-z-of-overcooked-2</x:v>
      </x:c>
    </x:row>
    <x:row r="6" ht="92" customHeight="1">
      <x:c r="A6" s="18" t="str">
        <x:v>OC_HORDE</x:v>
      </x:c>
      <x:c r="B6" s="18" t="str">
        <x:v>Team17｜Night of the Hangry Horde</x:v>
      </x:c>
      <x:c r="C6" s="18" t="str">
        <x:v>官方</x:v>
      </x:c>
      <x:c r="D6" s="18" t="str">
        <x:v>汤、果派、烤制拼盘的品类依据。</x:v>
      </x:c>
      <x:c r="E6" s="18" t="str">
        <x:v>https://www.team17.com/news/overcooked-2-introducing-night-of-the-hangry-horde</x:v>
      </x:c>
    </x:row>
    <x:row r="7" ht="92" customHeight="1">
      <x:c r="A7" s="18" t="str">
        <x:v>OC_CAMP</x:v>
      </x:c>
      <x:c r="B7" s="18" t="str">
        <x:v>Team17｜Campfire Cook Off</x:v>
      </x:c>
      <x:c r="C7" s="18" t="str">
        <x:v>官方</x:v>
      </x:c>
      <x:c r="D7" s="18" t="str">
        <x:v>早餐、棉花糖夹心饼、松饼的品类依据。</x:v>
      </x:c>
      <x:c r="E7" s="18" t="str">
        <x:v>https://www.team17.com/news/overcooked-2-campfire-cook-off-dlc-season-pass-available-now</x:v>
      </x:c>
    </x:row>
    <x:row r="8" ht="92" customHeight="1">
      <x:c r="A8" s="18" t="str">
        <x:v>OC_CARNIVAL</x:v>
      </x:c>
      <x:c r="B8" s="18" t="str">
        <x:v>Team17｜Carnival of Chaos</x:v>
      </x:c>
      <x:c r="C8" s="18" t="str">
        <x:v>官方</x:v>
      </x:c>
      <x:c r="D8" s="18" t="str">
        <x:v>热狗、甜甜圈、汽水及成品汇合的品类依据。</x:v>
      </x:c>
      <x:c r="E8" s="18" t="str">
        <x:v>https://www.team17.com/news/overcooked-2-carnival-of-chaos-dlc-out-now</x:v>
      </x:c>
    </x:row>
    <x:row r="9" ht="92" customHeight="1">
      <x:c r="A9" s="18" t="str">
        <x:v>OC_FAQ</x:v>
      </x:c>
      <x:c r="B9" s="18" t="str">
        <x:v>Team17｜Overcooked! 2 FAQ</x:v>
      </x:c>
      <x:c r="C9" s="18" t="str">
        <x:v>官方</x:v>
      </x:c>
      <x:c r="D9" s="18" t="str">
        <x:v>季节性火锅、水果拼盘、热巧克力等品类依据。</x:v>
      </x:c>
      <x:c r="E9" s="18" t="str">
        <x:v>https://www.team17.com/news/overcooked-2-faq</x:v>
      </x:c>
    </x:row>
    <x:row r="10" ht="92" customHeight="1">
      <x:c r="A10" s="18" t="str">
        <x:v>CUPS_STORE</x:v>
      </x:c>
      <x:c r="B10" s="18" t="str">
        <x:v>Steam｜Feed the Cups 官方商店说明</x:v>
      </x:c>
      <x:c r="C10" s="18" t="str">
        <x:v>官方</x:v>
      </x:c>
      <x:c r="D10" s="18" t="str">
        <x:v>果汁、冲调、咖啡、茶饮制作路线依据。商店的早期访问数量描述不是本设计范围。</x:v>
      </x:c>
      <x:c r="E10" s="18" t="str">
        <x:v>https://store.steampowered.com/app/2336220/Feed_the_Cups/?l=english</x:v>
      </x:c>
    </x:row>
    <x:row r="11" ht="92" customHeight="1">
      <x:c r="A11" s="18" t="str">
        <x:v>CUPS_GUIDE</x:v>
      </x:c>
      <x:c r="B11" s="18" t="str">
        <x:v>Steam 社区｜小宇龙啊：全配方详细内容图鉴</x:v>
      </x:c>
      <x:c r="C11" s="18" t="str">
        <x:v>玩家整理，非官方</x:v>
      </x:c>
      <x:c r="D11" s="18" t="str">
        <x:v>核对现有饮品组合、小料和按序完成思路；该指南含测试内容，不作为全部配方或版本状态的权威证明。</x:v>
      </x:c>
      <x:c r="E11" s="18" t="str">
        <x:v>https://steamcommunity.com/sharedfiles/filedetails/?id=3392057656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34cdf3a915e4224"/>
  </x:tableParts>
</x:worksheet>
</file>